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 List" sheetId="1" state="visible" r:id="rId1"/>
    <sheet name="Shoot Diary" sheetId="2" state="visible" r:id="rId2"/>
    <sheet name="Tripod Marks" sheetId="3" state="visible" r:id="rId3"/>
    <sheet name="Gear &amp; Setup" sheetId="4" state="visible" r:id="rId4"/>
    <sheet name="Camera Settings" sheetId="5" state="visible" r:id="rId5"/>
    <sheet name="Edit 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430"/>
      <sz val="14"/>
    </font>
    <font>
      <name val="Arial"/>
      <i val="1"/>
      <color rgb="005C6373"/>
      <sz val="9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1F2430"/>
      <sz val="10"/>
    </font>
    <font>
      <name val="Arial"/>
      <b val="1"/>
      <color rgb="001F2430"/>
      <sz val="10"/>
    </font>
  </fonts>
  <fills count="9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FFFBEA"/>
      </patternFill>
    </fill>
    <fill>
      <patternFill patternType="solid">
        <fgColor rgb="00E8F4EC"/>
      </patternFill>
    </fill>
    <fill>
      <patternFill patternType="solid">
        <fgColor rgb="00E4EBF7"/>
      </patternFill>
    </fill>
    <fill>
      <patternFill patternType="solid">
        <fgColor rgb="00FBE9EF"/>
      </patternFill>
    </fill>
    <fill>
      <patternFill patternType="solid">
        <fgColor rgb="00FFF4D6"/>
      </patternFill>
    </fill>
    <fill>
      <patternFill patternType="solid">
        <fgColor rgb="00EDEFF3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0" fillId="8" borderId="1" pivotButton="0" quotePrefix="0" xfId="0"/>
    <xf numFmtId="0" fontId="6" fillId="8" borderId="1" pivotButton="0" quotePrefix="0" xfId="0"/>
    <xf numFmtId="0" fontId="6" fillId="0" borderId="0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8" customWidth="1" min="4" max="4"/>
    <col width="9" customWidth="1" min="5" max="5"/>
    <col width="8" customWidth="1" min="6" max="6"/>
    <col width="15" customWidth="1" min="7" max="7"/>
    <col width="11" customWidth="1" min="8" max="8"/>
    <col width="12" customWidth="1" min="9" max="9"/>
    <col width="15" customWidth="1" min="10" max="10"/>
    <col width="40" customWidth="1" min="11" max="11"/>
    <col width="9" customWidth="1" min="12" max="12"/>
    <col width="26" customWidth="1" min="13" max="13"/>
    <col width="28" customWidth="1" min="14" max="14"/>
    <col width="44" customWidth="1" min="15" max="15"/>
  </cols>
  <sheetData>
    <row r="1">
      <c r="A1" s="1" t="inlineStr">
        <is>
          <t>Reel — The Beauty and the Hell of Being a Developer</t>
        </is>
      </c>
    </row>
    <row r="2">
      <c r="A2" s="2" t="inlineStr">
        <is>
          <t>Camera-led cut. 11 of 13 clips are shot on the tripod; only 2 are screen recordings. Audio: "Pretty Little Baby" x bass — add inside Instagram, not in your export. Beauty lands on the vocal, Hell lands on the bass.</t>
        </is>
      </c>
    </row>
    <row r="3">
      <c r="A3" s="2" t="inlineStr">
        <is>
          <t>Blue cells are yours. Change any Duration and every timecode below it re-syncs. Mark letters (A-E) refer to the Tripod Marks sheet.</t>
        </is>
      </c>
    </row>
    <row r="5" ht="28" customHeight="1">
      <c r="A5" s="3" t="inlineStr">
        <is>
          <t>Clip</t>
        </is>
      </c>
      <c r="B5" s="3" t="inlineStr">
        <is>
          <t>Mood</t>
        </is>
      </c>
      <c r="C5" s="3" t="inlineStr">
        <is>
          <t>Pair</t>
        </is>
      </c>
      <c r="D5" s="3" t="inlineStr">
        <is>
          <t>Dur (s)</t>
        </is>
      </c>
      <c r="E5" s="3" t="inlineStr">
        <is>
          <t>Start (s)</t>
        </is>
      </c>
      <c r="F5" s="3" t="inlineStr">
        <is>
          <t>End (s)</t>
        </is>
      </c>
      <c r="G5" s="3" t="inlineStr">
        <is>
          <t>Timecode</t>
        </is>
      </c>
      <c r="H5" s="3" t="inlineStr">
        <is>
          <t>Capture</t>
        </is>
      </c>
      <c r="I5" s="3" t="inlineStr">
        <is>
          <t>Session</t>
        </is>
      </c>
      <c r="J5" s="3" t="inlineStr">
        <is>
          <t>Shot size</t>
        </is>
      </c>
      <c r="K5" s="3" t="inlineStr">
        <is>
          <t>What happens</t>
        </is>
      </c>
      <c r="L5" s="3" t="inlineStr">
        <is>
          <t>Tripod mark</t>
        </is>
      </c>
      <c r="M5" s="3" t="inlineStr">
        <is>
          <t>Lighting</t>
        </is>
      </c>
      <c r="N5" s="3" t="inlineStr">
        <is>
          <t>On-screen text</t>
        </is>
      </c>
      <c r="O5" s="3" t="inlineStr">
        <is>
          <t>Notes</t>
        </is>
      </c>
    </row>
    <row r="6" ht="46" customHeight="1">
      <c r="A6" s="4" t="n">
        <v>1</v>
      </c>
      <c r="B6" s="5" t="inlineStr">
        <is>
          <t>Beauty</t>
        </is>
      </c>
      <c r="C6" s="6" t="inlineStr">
        <is>
          <t>1 - The sit-down</t>
        </is>
      </c>
      <c r="D6" s="7" t="n">
        <v>2</v>
      </c>
      <c r="E6" s="4" t="n">
        <v>0</v>
      </c>
      <c r="F6" s="4">
        <f>E6+D6</f>
        <v/>
      </c>
      <c r="G6" s="4">
        <f>INT(E6/60)&amp;":"&amp;TEXT(MOD(E6,60),"00")&amp;" - "&amp;INT(F6/60)&amp;":"&amp;TEXT(MOD(F6,60),"00")</f>
        <v/>
      </c>
      <c r="H6" s="8" t="inlineStr">
        <is>
          <t>Camera</t>
        </is>
      </c>
      <c r="I6" s="4" t="inlineStr">
        <is>
          <t>S2 Morning</t>
        </is>
      </c>
      <c r="J6" s="4" t="inlineStr">
        <is>
          <t>Wide</t>
        </is>
      </c>
      <c r="K6" s="6" t="inlineStr">
        <is>
          <t>You sit down, set the coffee, hands go to the keyboard. Fresh.</t>
        </is>
      </c>
      <c r="L6" s="5" t="inlineStr">
        <is>
          <t>A</t>
        </is>
      </c>
      <c r="M6" s="6" t="inlineStr">
        <is>
          <t>Window light, curtains sheer</t>
        </is>
      </c>
      <c r="N6" s="6" t="inlineStr">
        <is>
          <t>day one of anything</t>
        </is>
      </c>
      <c r="O6" s="6" t="inlineStr">
        <is>
          <t>Do it three times. The third is always the natural one.</t>
        </is>
      </c>
    </row>
    <row r="7" ht="46" customHeight="1">
      <c r="A7" s="9" t="n">
        <v>2</v>
      </c>
      <c r="B7" s="10" t="inlineStr">
        <is>
          <t>Hell</t>
        </is>
      </c>
      <c r="C7" s="11" t="inlineStr">
        <is>
          <t>1 - The sit-down</t>
        </is>
      </c>
      <c r="D7" s="7" t="n">
        <v>2</v>
      </c>
      <c r="E7" s="9">
        <f>F6</f>
        <v/>
      </c>
      <c r="F7" s="9">
        <f>E7+D7</f>
        <v/>
      </c>
      <c r="G7" s="9">
        <f>INT(E7/60)&amp;":"&amp;TEXT(MOD(E7,60),"00")&amp;" - "&amp;INT(F7/60)&amp;":"&amp;TEXT(MOD(F7,60),"00")</f>
        <v/>
      </c>
      <c r="H7" s="8" t="inlineStr">
        <is>
          <t>Camera</t>
        </is>
      </c>
      <c r="I7" s="9" t="inlineStr">
        <is>
          <t>S1 Night</t>
        </is>
      </c>
      <c r="J7" s="9" t="inlineStr">
        <is>
          <t>Wide</t>
        </is>
      </c>
      <c r="K7" s="11" t="inlineStr">
        <is>
          <t>Same chair, slumped, hand over your face. Screen still blank.</t>
        </is>
      </c>
      <c r="L7" s="10" t="inlineStr">
        <is>
          <t>A</t>
        </is>
      </c>
      <c r="M7" s="11" t="inlineStr">
        <is>
          <t>Monitor only, room dark</t>
        </is>
      </c>
      <c r="N7" s="11" t="inlineStr">
        <is>
          <t>six hours later</t>
        </is>
      </c>
      <c r="O7" s="11" t="inlineStr">
        <is>
          <t>IDENTICAL framing to clip 1. Same mark, same height.</t>
        </is>
      </c>
    </row>
    <row r="8" ht="46" customHeight="1">
      <c r="A8" s="4" t="n">
        <v>3</v>
      </c>
      <c r="B8" s="5" t="inlineStr">
        <is>
          <t>Beauty</t>
        </is>
      </c>
      <c r="C8" s="6" t="inlineStr">
        <is>
          <t>2 - The tests</t>
        </is>
      </c>
      <c r="D8" s="7" t="n">
        <v>2</v>
      </c>
      <c r="E8" s="4">
        <f>F7</f>
        <v/>
      </c>
      <c r="F8" s="4">
        <f>E8+D8</f>
        <v/>
      </c>
      <c r="G8" s="4">
        <f>INT(E8/60)&amp;":"&amp;TEXT(MOD(E8,60),"00")&amp;" - "&amp;INT(F8/60)&amp;":"&amp;TEXT(MOD(F8,60),"00")</f>
        <v/>
      </c>
      <c r="H8" s="8" t="inlineStr">
        <is>
          <t>Camera</t>
        </is>
      </c>
      <c r="I8" s="4" t="inlineStr">
        <is>
          <t>S1 Night</t>
        </is>
      </c>
      <c r="J8" s="4" t="inlineStr">
        <is>
          <t>Close - face</t>
        </is>
      </c>
      <c r="K8" s="6" t="inlineStr">
        <is>
          <t>Your face lit green by the monitor. Small, real smile.</t>
        </is>
      </c>
      <c r="L8" s="5" t="inlineStr">
        <is>
          <t>B</t>
        </is>
      </c>
      <c r="M8" s="6" t="inlineStr">
        <is>
          <t>Green screen glow, nothing else</t>
        </is>
      </c>
      <c r="N8" s="6" t="inlineStr">
        <is>
          <t>98 passed</t>
        </is>
      </c>
      <c r="O8" s="6" t="inlineStr">
        <is>
          <t>Fill your screen with green output so it lights your face.</t>
        </is>
      </c>
    </row>
    <row r="9" ht="46" customHeight="1">
      <c r="A9" s="9" t="n">
        <v>4</v>
      </c>
      <c r="B9" s="10" t="inlineStr">
        <is>
          <t>Hell</t>
        </is>
      </c>
      <c r="C9" s="11" t="inlineStr">
        <is>
          <t>2 - The tests</t>
        </is>
      </c>
      <c r="D9" s="7" t="n">
        <v>2</v>
      </c>
      <c r="E9" s="9">
        <f>F8</f>
        <v/>
      </c>
      <c r="F9" s="9">
        <f>E9+D9</f>
        <v/>
      </c>
      <c r="G9" s="9">
        <f>INT(E9/60)&amp;":"&amp;TEXT(MOD(E9,60),"00")&amp;" - "&amp;INT(F9/60)&amp;":"&amp;TEXT(MOD(F9,60),"00")</f>
        <v/>
      </c>
      <c r="H9" s="8" t="inlineStr">
        <is>
          <t>Camera</t>
        </is>
      </c>
      <c r="I9" s="9" t="inlineStr">
        <is>
          <t>S1 Night</t>
        </is>
      </c>
      <c r="J9" s="9" t="inlineStr">
        <is>
          <t>Close - face</t>
        </is>
      </c>
      <c r="K9" s="11" t="inlineStr">
        <is>
          <t>Same face, lit red. Dead-eyed. Do not blink.</t>
        </is>
      </c>
      <c r="L9" s="10" t="inlineStr">
        <is>
          <t>B</t>
        </is>
      </c>
      <c r="M9" s="11" t="inlineStr">
        <is>
          <t>Red screen glow, nothing else</t>
        </is>
      </c>
      <c r="N9" s="11" t="inlineStr">
        <is>
          <t>one line. 3:47am.</t>
        </is>
      </c>
      <c r="O9" s="11" t="inlineStr">
        <is>
          <t>Same mark as clip 3. Only the screen colour changes.</t>
        </is>
      </c>
    </row>
    <row r="10" ht="46" customHeight="1">
      <c r="A10" s="4" t="n">
        <v>5</v>
      </c>
      <c r="B10" s="5" t="inlineStr">
        <is>
          <t>Beauty</t>
        </is>
      </c>
      <c r="C10" s="6" t="inlineStr">
        <is>
          <t>3 - The ship</t>
        </is>
      </c>
      <c r="D10" s="7" t="n">
        <v>2</v>
      </c>
      <c r="E10" s="4">
        <f>F9</f>
        <v/>
      </c>
      <c r="F10" s="4">
        <f>E10+D10</f>
        <v/>
      </c>
      <c r="G10" s="4">
        <f>INT(E10/60)&amp;":"&amp;TEXT(MOD(E10,60),"00")&amp;" - "&amp;INT(F10/60)&amp;":"&amp;TEXT(MOD(F10,60),"00")</f>
        <v/>
      </c>
      <c r="H10" s="8" t="inlineStr">
        <is>
          <t>Camera</t>
        </is>
      </c>
      <c r="I10" s="4" t="inlineStr">
        <is>
          <t>S2 Morning</t>
        </is>
      </c>
      <c r="J10" s="4" t="inlineStr">
        <is>
          <t>Mid - side on</t>
        </is>
      </c>
      <c r="K10" s="6" t="inlineStr">
        <is>
          <t>You hit Enter, lean back, arms behind your head.</t>
        </is>
      </c>
      <c r="L10" s="5" t="inlineStr">
        <is>
          <t>C</t>
        </is>
      </c>
      <c r="M10" s="6" t="inlineStr">
        <is>
          <t>Window light</t>
        </is>
      </c>
      <c r="N10" s="6" t="inlineStr">
        <is>
          <t>shipped</t>
        </is>
      </c>
      <c r="O10" s="6" t="inlineStr">
        <is>
          <t>The lean-back is the shot. Hold it a beat longer than feels right.</t>
        </is>
      </c>
    </row>
    <row r="11" ht="46" customHeight="1">
      <c r="A11" s="9" t="n">
        <v>6</v>
      </c>
      <c r="B11" s="10" t="inlineStr">
        <is>
          <t>Hell</t>
        </is>
      </c>
      <c r="C11" s="11" t="inlineStr">
        <is>
          <t>3 - The ship</t>
        </is>
      </c>
      <c r="D11" s="7" t="n">
        <v>2</v>
      </c>
      <c r="E11" s="9">
        <f>F10</f>
        <v/>
      </c>
      <c r="F11" s="9">
        <f>E11+D11</f>
        <v/>
      </c>
      <c r="G11" s="9">
        <f>INT(E11/60)&amp;":"&amp;TEXT(MOD(E11,60),"00")&amp;" - "&amp;INT(F11/60)&amp;":"&amp;TEXT(MOD(F11,60),"00")</f>
        <v/>
      </c>
      <c r="H11" s="8" t="inlineStr">
        <is>
          <t>Camera</t>
        </is>
      </c>
      <c r="I11" s="9" t="inlineStr">
        <is>
          <t>S1 Night</t>
        </is>
      </c>
      <c r="J11" s="9" t="inlineStr">
        <is>
          <t>Mid - side on</t>
        </is>
      </c>
      <c r="K11" s="11" t="inlineStr">
        <is>
          <t>Same chair. You lurch forward as the laptop lights up.</t>
        </is>
      </c>
      <c r="L11" s="10" t="inlineStr">
        <is>
          <t>C</t>
        </is>
      </c>
      <c r="M11" s="11" t="inlineStr">
        <is>
          <t>Screen flare in a dark room</t>
        </is>
      </c>
      <c r="N11" s="11" t="inlineStr">
        <is>
          <t>four minutes later</t>
        </is>
      </c>
      <c r="O11" s="11" t="inlineStr">
        <is>
          <t>Your phone is the camera, so the alerts go on the LAPTOP.</t>
        </is>
      </c>
    </row>
    <row r="12" ht="46" customHeight="1">
      <c r="A12" s="4" t="n">
        <v>7</v>
      </c>
      <c r="B12" s="5" t="inlineStr">
        <is>
          <t>Beauty</t>
        </is>
      </c>
      <c r="C12" s="6" t="inlineStr">
        <is>
          <t>4 - The bug</t>
        </is>
      </c>
      <c r="D12" s="7" t="n">
        <v>2</v>
      </c>
      <c r="E12" s="4">
        <f>F11</f>
        <v/>
      </c>
      <c r="F12" s="4">
        <f>E12+D12</f>
        <v/>
      </c>
      <c r="G12" s="4">
        <f>INT(E12/60)&amp;":"&amp;TEXT(MOD(E12,60),"00")&amp;" - "&amp;INT(F12/60)&amp;":"&amp;TEXT(MOD(F12,60),"00")</f>
        <v/>
      </c>
      <c r="H12" s="8" t="inlineStr">
        <is>
          <t>Camera</t>
        </is>
      </c>
      <c r="I12" s="4" t="inlineStr">
        <is>
          <t>S2 Morning</t>
        </is>
      </c>
      <c r="J12" s="4" t="inlineStr">
        <is>
          <t>Over-shoulder</t>
        </is>
      </c>
      <c r="K12" s="6" t="inlineStr">
        <is>
          <t>You point at the screen. Found it.</t>
        </is>
      </c>
      <c r="L12" s="5" t="inlineStr">
        <is>
          <t>D</t>
        </is>
      </c>
      <c r="M12" s="6" t="inlineStr">
        <is>
          <t>Window light</t>
        </is>
      </c>
      <c r="N12" s="6" t="inlineStr">
        <is>
          <t>found it</t>
        </is>
      </c>
      <c r="O12" s="6" t="inlineStr">
        <is>
          <t>Screen can be unreadable. The gesture carries it.</t>
        </is>
      </c>
    </row>
    <row r="13" ht="46" customHeight="1">
      <c r="A13" s="9" t="n">
        <v>8</v>
      </c>
      <c r="B13" s="10" t="inlineStr">
        <is>
          <t>Hell</t>
        </is>
      </c>
      <c r="C13" s="11" t="inlineStr">
        <is>
          <t>4 - The bug</t>
        </is>
      </c>
      <c r="D13" s="7" t="n">
        <v>2</v>
      </c>
      <c r="E13" s="9">
        <f>F12</f>
        <v/>
      </c>
      <c r="F13" s="9">
        <f>E13+D13</f>
        <v/>
      </c>
      <c r="G13" s="9">
        <f>INT(E13/60)&amp;":"&amp;TEXT(MOD(E13,60),"00")&amp;" - "&amp;INT(F13/60)&amp;":"&amp;TEXT(MOD(F13,60),"00")</f>
        <v/>
      </c>
      <c r="H13" s="9" t="inlineStr">
        <is>
          <t>Screen rec</t>
        </is>
      </c>
      <c r="I13" s="9" t="inlineStr">
        <is>
          <t>S3 Screen</t>
        </is>
      </c>
      <c r="J13" s="9" t="inlineStr">
        <is>
          <t>Full screen</t>
        </is>
      </c>
      <c r="K13" s="11" t="inlineStr">
        <is>
          <t>git blame on that line - your own name, months ago.</t>
        </is>
      </c>
      <c r="L13" s="10" t="inlineStr">
        <is>
          <t>-</t>
        </is>
      </c>
      <c r="M13" s="11" t="inlineStr">
        <is>
          <t>Dark terminal</t>
        </is>
      </c>
      <c r="N13" s="11" t="inlineStr">
        <is>
          <t>it was me. eight months ago.</t>
        </is>
      </c>
      <c r="O13" s="11" t="inlineStr">
        <is>
          <t>One of only two screen recordings. Your name must be readable.</t>
        </is>
      </c>
    </row>
    <row r="14" ht="46" customHeight="1">
      <c r="A14" s="4" t="n">
        <v>9</v>
      </c>
      <c r="B14" s="5" t="inlineStr">
        <is>
          <t>Beauty</t>
        </is>
      </c>
      <c r="C14" s="6" t="inlineStr">
        <is>
          <t>5 - Flow state</t>
        </is>
      </c>
      <c r="D14" s="7" t="n">
        <v>2</v>
      </c>
      <c r="E14" s="4">
        <f>F13</f>
        <v/>
      </c>
      <c r="F14" s="4">
        <f>E14+D14</f>
        <v/>
      </c>
      <c r="G14" s="4">
        <f>INT(E14/60)&amp;":"&amp;TEXT(MOD(E14,60),"00")&amp;" - "&amp;INT(F14/60)&amp;":"&amp;TEXT(MOD(F14,60),"00")</f>
        <v/>
      </c>
      <c r="H14" s="8" t="inlineStr">
        <is>
          <t>Camera</t>
        </is>
      </c>
      <c r="I14" s="4" t="inlineStr">
        <is>
          <t>S1 Night</t>
        </is>
      </c>
      <c r="J14" s="4" t="inlineStr">
        <is>
          <t>Wide - silhouette</t>
        </is>
      </c>
      <c r="K14" s="6" t="inlineStr">
        <is>
          <t>Headphones on, you in silhouette against the monitor.</t>
        </is>
      </c>
      <c r="L14" s="5" t="inlineStr">
        <is>
          <t>A</t>
        </is>
      </c>
      <c r="M14" s="6" t="inlineStr">
        <is>
          <t>Monitor only</t>
        </is>
      </c>
      <c r="N14" s="6" t="inlineStr">
        <is>
          <t>3am is the only quiet hour</t>
        </is>
      </c>
      <c r="O14" s="6" t="inlineStr">
        <is>
          <t>Silhouette hides everything. The easiest good-looking shot here.</t>
        </is>
      </c>
    </row>
    <row r="15" ht="46" customHeight="1">
      <c r="A15" s="9" t="n">
        <v>10</v>
      </c>
      <c r="B15" s="10" t="inlineStr">
        <is>
          <t>Hell</t>
        </is>
      </c>
      <c r="C15" s="11" t="inlineStr">
        <is>
          <t>5 - Flow state</t>
        </is>
      </c>
      <c r="D15" s="7" t="n">
        <v>2</v>
      </c>
      <c r="E15" s="9">
        <f>F14</f>
        <v/>
      </c>
      <c r="F15" s="9">
        <f>E15+D15</f>
        <v/>
      </c>
      <c r="G15" s="9">
        <f>INT(E15/60)&amp;":"&amp;TEXT(MOD(E15,60),"00")&amp;" - "&amp;INT(F15/60)&amp;":"&amp;TEXT(MOD(F15,60),"00")</f>
        <v/>
      </c>
      <c r="H15" s="8" t="inlineStr">
        <is>
          <t>Camera</t>
        </is>
      </c>
      <c r="I15" s="9" t="inlineStr">
        <is>
          <t>S2 Dawn</t>
        </is>
      </c>
      <c r="J15" s="9" t="inlineStr">
        <is>
          <t>Wide - silhouette</t>
        </is>
      </c>
      <c r="K15" s="11" t="inlineStr">
        <is>
          <t>Same frame. Dawn through the curtains. Still there.</t>
        </is>
      </c>
      <c r="L15" s="10" t="inlineStr">
        <is>
          <t>A</t>
        </is>
      </c>
      <c r="M15" s="11" t="inlineStr">
        <is>
          <t>First light + screen still on</t>
        </is>
      </c>
      <c r="N15" s="11" t="inlineStr">
        <is>
          <t>still here</t>
        </is>
      </c>
      <c r="O15" s="11" t="inlineStr">
        <is>
          <t>THE shot. Shoot at first light, before the sun is up properly.</t>
        </is>
      </c>
    </row>
    <row r="16" ht="46" customHeight="1">
      <c r="A16" s="4" t="n">
        <v>11</v>
      </c>
      <c r="B16" s="5" t="inlineStr">
        <is>
          <t>Beauty</t>
        </is>
      </c>
      <c r="C16" s="6" t="inlineStr">
        <is>
          <t>6 - It works</t>
        </is>
      </c>
      <c r="D16" s="7" t="n">
        <v>2</v>
      </c>
      <c r="E16" s="4">
        <f>F15</f>
        <v/>
      </c>
      <c r="F16" s="4">
        <f>E16+D16</f>
        <v/>
      </c>
      <c r="G16" s="4">
        <f>INT(E16/60)&amp;":"&amp;TEXT(MOD(E16,60),"00")&amp;" - "&amp;INT(F16/60)&amp;":"&amp;TEXT(MOD(F16,60),"00")</f>
        <v/>
      </c>
      <c r="H16" s="8" t="inlineStr">
        <is>
          <t>Camera</t>
        </is>
      </c>
      <c r="I16" s="4" t="inlineStr">
        <is>
          <t>S2 Morning</t>
        </is>
      </c>
      <c r="J16" s="4" t="inlineStr">
        <is>
          <t>Close - face</t>
        </is>
      </c>
      <c r="K16" s="6" t="inlineStr">
        <is>
          <t>Your genuine reaction as the thing runs for the first time.</t>
        </is>
      </c>
      <c r="L16" s="5" t="inlineStr">
        <is>
          <t>B</t>
        </is>
      </c>
      <c r="M16" s="6" t="inlineStr">
        <is>
          <t>Window light</t>
        </is>
      </c>
      <c r="N16" s="6" t="inlineStr">
        <is>
          <t>it works</t>
        </is>
      </c>
      <c r="O16" s="6" t="inlineStr">
        <is>
          <t>Run demo_guardian.py off-camera and film your actual face.</t>
        </is>
      </c>
    </row>
    <row r="17" ht="46" customHeight="1">
      <c r="A17" s="9" t="n">
        <v>12</v>
      </c>
      <c r="B17" s="10" t="inlineStr">
        <is>
          <t>Hell</t>
        </is>
      </c>
      <c r="C17" s="11" t="inlineStr">
        <is>
          <t>6 - It works</t>
        </is>
      </c>
      <c r="D17" s="7" t="n">
        <v>2</v>
      </c>
      <c r="E17" s="9">
        <f>F16</f>
        <v/>
      </c>
      <c r="F17" s="9">
        <f>E17+D17</f>
        <v/>
      </c>
      <c r="G17" s="9">
        <f>INT(E17/60)&amp;":"&amp;TEXT(MOD(E17,60),"00")&amp;" - "&amp;INT(F17/60)&amp;":"&amp;TEXT(MOD(F17,60),"00")</f>
        <v/>
      </c>
      <c r="H17" s="8" t="inlineStr">
        <is>
          <t>Camera</t>
        </is>
      </c>
      <c r="I17" s="9" t="inlineStr">
        <is>
          <t>S1 Night</t>
        </is>
      </c>
      <c r="J17" s="9" t="inlineStr">
        <is>
          <t>Very wide</t>
        </is>
      </c>
      <c r="K17" s="11" t="inlineStr">
        <is>
          <t>Pull back on the whole desk. Cups, cables, mess, you small in it.</t>
        </is>
      </c>
      <c r="L17" s="10" t="inlineStr">
        <is>
          <t>E</t>
        </is>
      </c>
      <c r="M17" s="11" t="inlineStr">
        <is>
          <t>Monitor only, room dark</t>
        </is>
      </c>
      <c r="N17" s="11" t="inlineStr">
        <is>
          <t>and now I maintain it. forever.</t>
        </is>
      </c>
      <c r="O17" s="11" t="inlineStr">
        <is>
          <t>Do NOT tidy the desk. The mess is the shot.</t>
        </is>
      </c>
    </row>
    <row r="18" ht="46" customHeight="1">
      <c r="A18" s="12" t="n">
        <v>13</v>
      </c>
      <c r="B18" s="13" t="inlineStr">
        <is>
          <t>Closer</t>
        </is>
      </c>
      <c r="C18" s="14" t="inlineStr">
        <is>
          <t>Land on beauty</t>
        </is>
      </c>
      <c r="D18" s="7" t="n">
        <v>4</v>
      </c>
      <c r="E18" s="12">
        <f>F17</f>
        <v/>
      </c>
      <c r="F18" s="12">
        <f>E18+D18</f>
        <v/>
      </c>
      <c r="G18" s="12">
        <f>INT(E18/60)&amp;":"&amp;TEXT(MOD(E18,60),"00")&amp;" - "&amp;INT(F18/60)&amp;":"&amp;TEXT(MOD(F18,60),"00")</f>
        <v/>
      </c>
      <c r="H18" s="12" t="inlineStr">
        <is>
          <t>Screen rec</t>
        </is>
      </c>
      <c r="I18" s="12" t="inlineStr">
        <is>
          <t>S3 Screen</t>
        </is>
      </c>
      <c r="J18" s="12" t="inlineStr">
        <is>
          <t>Full screen</t>
        </is>
      </c>
      <c r="K18" s="14" t="inlineStr">
        <is>
          <t>demo_guardian.py - PATCH REFUSED lands in red. It refuses to edit its own gate.</t>
        </is>
      </c>
      <c r="L18" s="13" t="inlineStr">
        <is>
          <t>-</t>
        </is>
      </c>
      <c r="M18" s="14" t="inlineStr">
        <is>
          <t>Dark terminal, red banner</t>
        </is>
      </c>
      <c r="N18" s="14" t="inlineStr">
        <is>
          <t>and I would do it again tomorrow</t>
        </is>
      </c>
      <c r="O18" s="14" t="inlineStr">
        <is>
          <t>Your strongest frame and your cover. Hold it - do not cut early.</t>
        </is>
      </c>
    </row>
    <row r="19">
      <c r="A19" s="15" t="n"/>
      <c r="B19" s="15" t="n"/>
      <c r="C19" s="16" t="inlineStr">
        <is>
          <t>TOTAL RUNTIME</t>
        </is>
      </c>
      <c r="D19" s="16">
        <f>SUM(D6:D18)</f>
        <v/>
      </c>
      <c r="E19" s="15" t="n"/>
      <c r="F19" s="15" t="n"/>
      <c r="G19" s="16">
        <f>"0:"&amp;TEXT(SUM(D6:D18),"00")&amp;" total"</f>
        <v/>
      </c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1">
      <c r="A21" s="17" t="inlineStr">
        <is>
          <t>Camera shots</t>
        </is>
      </c>
      <c r="D21" s="17">
        <f>COUNTIF(H6:H18,"Camera")</f>
        <v/>
      </c>
    </row>
    <row r="22">
      <c r="A22" s="17" t="inlineStr">
        <is>
          <t>Screen recordings</t>
        </is>
      </c>
      <c r="D22" s="17">
        <f>COUNTIF(H6:H18,"Screen rec")</f>
        <v/>
      </c>
    </row>
    <row r="23">
      <c r="A23" s="17" t="inlineStr">
        <is>
          <t>Beauty / Hell balance</t>
        </is>
      </c>
      <c r="D23" s="17">
        <f>COUNTIF(B6:B18,"Beauty")&amp;" / "&amp;COUNTIF(B6:B18,"Hell")</f>
        <v/>
      </c>
    </row>
    <row r="24">
      <c r="A24" s="17" t="inlineStr">
        <is>
          <t>Clips in S1 Night</t>
        </is>
      </c>
      <c r="D24" s="17">
        <f>COUNTIF(I6:I18,"S1 Night")</f>
        <v/>
      </c>
    </row>
    <row r="25">
      <c r="A25" s="17" t="inlineStr">
        <is>
          <t>Clips in S2 (Dawn + Morning)</t>
        </is>
      </c>
      <c r="D25" s="17">
        <f>COUNTIF(I6:I18,"S2 Morning")+COUNTIF(I6:I18,"S2 Dawn")</f>
        <v/>
      </c>
    </row>
    <row r="26">
      <c r="A26" s="17" t="inlineStr">
        <is>
          <t>Clips in S3 Screen</t>
        </is>
      </c>
      <c r="D26" s="17">
        <f>COUNTIF(I6:I18,"S3 Screen")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12" customWidth="1" min="4" max="4"/>
    <col width="22" customWidth="1" min="5" max="5"/>
    <col width="56" customWidth="1" min="6" max="6"/>
  </cols>
  <sheetData>
    <row r="1">
      <c r="A1" s="1" t="inlineStr">
        <is>
          <t>Week of Mon 17 Aug — tripod arrives Monday</t>
        </is>
      </c>
    </row>
    <row r="2">
      <c r="A2" s="2" t="inlineStr">
        <is>
          <t>Monday is setup only, no shooting. Getting the five marks right on Monday is what makes every pair line up later in the week.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What</t>
        </is>
      </c>
      <c r="D4" s="3" t="inlineStr">
        <is>
          <t>Time</t>
        </is>
      </c>
      <c r="E4" s="3" t="inlineStr">
        <is>
          <t>Clips</t>
        </is>
      </c>
      <c r="F4" s="3" t="inlineStr">
        <is>
          <t>Why then</t>
        </is>
      </c>
    </row>
    <row r="5" ht="38" customHeight="1">
      <c r="A5" s="18" t="inlineStr">
        <is>
          <t>Mon</t>
        </is>
      </c>
      <c r="B5" s="19" t="inlineStr">
        <is>
          <t>17 Aug</t>
        </is>
      </c>
      <c r="C5" s="19" t="inlineStr">
        <is>
          <t>Tripod arrives — SETUP ONLY</t>
        </is>
      </c>
      <c r="D5" s="19" t="inlineStr">
        <is>
          <t>30 min</t>
        </is>
      </c>
      <c r="E5" s="19" t="inlineStr">
        <is>
          <t>none</t>
        </is>
      </c>
      <c r="F5" s="19" t="inlineStr">
        <is>
          <t>Unbox, set the 5 marks, tape the floor, photograph each framing. Shoot nothing.</t>
        </is>
      </c>
    </row>
    <row r="6" ht="38" customHeight="1">
      <c r="A6" s="18" t="inlineStr">
        <is>
          <t>Tue</t>
        </is>
      </c>
      <c r="B6" s="19" t="inlineStr">
        <is>
          <t>18 Aug</t>
        </is>
      </c>
      <c r="C6" s="19" t="inlineStr">
        <is>
          <t>S1 — Night shoot</t>
        </is>
      </c>
      <c r="D6" s="19" t="inlineStr">
        <is>
          <t>45 min</t>
        </is>
      </c>
      <c r="E6" s="19" t="inlineStr">
        <is>
          <t>2, 3, 4, 6, 9, 12</t>
        </is>
      </c>
      <c r="F6" s="19" t="inlineStr">
        <is>
          <t>Six clips, all dark. Biggest session — do it when you have energy.</t>
        </is>
      </c>
    </row>
    <row r="7" ht="38" customHeight="1">
      <c r="A7" s="18" t="inlineStr">
        <is>
          <t>Wed</t>
        </is>
      </c>
      <c r="B7" s="19" t="inlineStr">
        <is>
          <t>19 Aug</t>
        </is>
      </c>
      <c r="C7" s="19" t="inlineStr">
        <is>
          <t>S2a — Dawn</t>
        </is>
      </c>
      <c r="D7" s="19" t="inlineStr">
        <is>
          <t>15 min</t>
        </is>
      </c>
      <c r="E7" s="19" t="inlineStr">
        <is>
          <t>10</t>
        </is>
      </c>
      <c r="F7" s="19" t="inlineStr">
        <is>
          <t>First light only. Set an alarm. This window does not wait.</t>
        </is>
      </c>
    </row>
    <row r="8" ht="38" customHeight="1">
      <c r="A8" s="18" t="inlineStr">
        <is>
          <t>Wed</t>
        </is>
      </c>
      <c r="B8" s="19" t="inlineStr">
        <is>
          <t>19 Aug</t>
        </is>
      </c>
      <c r="C8" s="19" t="inlineStr">
        <is>
          <t>S2b — Morning</t>
        </is>
      </c>
      <c r="D8" s="19" t="inlineStr">
        <is>
          <t>30 min</t>
        </is>
      </c>
      <c r="E8" s="19" t="inlineStr">
        <is>
          <t>1, 5, 7, 11</t>
        </is>
      </c>
      <c r="F8" s="19" t="inlineStr">
        <is>
          <t>Window light. Same day so the room and your clothes still match.</t>
        </is>
      </c>
    </row>
    <row r="9" ht="38" customHeight="1">
      <c r="A9" s="18" t="inlineStr">
        <is>
          <t>Wed</t>
        </is>
      </c>
      <c r="B9" s="19" t="inlineStr">
        <is>
          <t>19 Aug</t>
        </is>
      </c>
      <c r="C9" s="19" t="inlineStr">
        <is>
          <t>S3 — Screen recordings</t>
        </is>
      </c>
      <c r="D9" s="19" t="inlineStr">
        <is>
          <t>20 min</t>
        </is>
      </c>
      <c r="E9" s="19" t="inlineStr">
        <is>
          <t>8, 13</t>
        </is>
      </c>
      <c r="F9" s="19" t="inlineStr">
        <is>
          <t>Sitting down, no setup. Fill this in whenever.</t>
        </is>
      </c>
    </row>
    <row r="10" ht="38" customHeight="1">
      <c r="A10" s="18" t="inlineStr">
        <is>
          <t>Thu</t>
        </is>
      </c>
      <c r="B10" s="19" t="inlineStr">
        <is>
          <t>20 Aug</t>
        </is>
      </c>
      <c r="C10" s="19" t="inlineStr">
        <is>
          <t>Edit</t>
        </is>
      </c>
      <c r="D10" s="19" t="inlineStr">
        <is>
          <t>60-90 min</t>
        </is>
      </c>
      <c r="E10" s="19" t="inlineStr">
        <is>
          <t>all</t>
        </is>
      </c>
      <c r="F10" s="19" t="inlineStr">
        <is>
          <t>Beat markers first, then drop clips. See the Edit Steps sheet.</t>
        </is>
      </c>
    </row>
    <row r="11" ht="38" customHeight="1">
      <c r="A11" s="18" t="inlineStr">
        <is>
          <t>Fri</t>
        </is>
      </c>
      <c r="B11" s="19" t="inlineStr">
        <is>
          <t>21 Aug</t>
        </is>
      </c>
      <c r="C11" s="19" t="inlineStr">
        <is>
          <t>POST — 6:30-8:00pm IST</t>
        </is>
      </c>
      <c r="D11" s="19" t="inlineStr">
        <is>
          <t>10 min</t>
        </is>
      </c>
      <c r="E11" s="19" t="inlineStr">
        <is>
          <t>-</t>
        </is>
      </c>
      <c r="F11" s="19" t="inlineStr">
        <is>
          <t>Your peak follower window. Story-push it within two hours.</t>
        </is>
      </c>
    </row>
    <row r="13">
      <c r="A13" s="20" t="inlineStr">
        <is>
          <t>If the tripod is late</t>
        </is>
      </c>
    </row>
    <row r="14">
      <c r="A14" s="21" t="inlineStr">
        <is>
          <t>Shoot S3 (clips 8 and 13) anyway — they need no camera. Then slide the camera sessions by a day each and post Saturday instead. Do not shoot the pairs handheld: clips 9 and 10 are twelve hours apart and will not match.</t>
        </is>
      </c>
    </row>
    <row r="15"/>
    <row r="16"/>
  </sheetData>
  <mergeCells count="1">
    <mergeCell ref="A14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22" customWidth="1" min="4" max="4"/>
    <col width="22" customWidth="1" min="5" max="5"/>
    <col width="14" customWidth="1" min="6" max="6"/>
    <col width="50" customWidth="1" min="7" max="7"/>
  </cols>
  <sheetData>
    <row r="1">
      <c r="A1" s="1" t="inlineStr">
        <is>
          <t>Five marks — set once on Monday, do not move them</t>
        </is>
      </c>
    </row>
    <row r="2">
      <c r="A2" s="2" t="inlineStr">
        <is>
          <t>Tape the floor where each leg sits and write the letter on the tape. Photograph each framing on Monday so you can rebuild it exactly on Wednesday.</t>
        </is>
      </c>
    </row>
    <row r="4">
      <c r="A4" s="3" t="inlineStr">
        <is>
          <t>Mark</t>
        </is>
      </c>
      <c r="B4" s="3" t="inlineStr">
        <is>
          <t>Shot size</t>
        </is>
      </c>
      <c r="C4" s="3" t="inlineStr">
        <is>
          <t>Height</t>
        </is>
      </c>
      <c r="D4" s="3" t="inlineStr">
        <is>
          <t>Distance</t>
        </is>
      </c>
      <c r="E4" s="3" t="inlineStr">
        <is>
          <t>Angle</t>
        </is>
      </c>
      <c r="F4" s="3" t="inlineStr">
        <is>
          <t>Clips</t>
        </is>
      </c>
      <c r="G4" s="3" t="inlineStr">
        <is>
          <t>Must match</t>
        </is>
      </c>
    </row>
    <row r="5" ht="48" customHeight="1">
      <c r="A5" s="18" t="inlineStr">
        <is>
          <t>A</t>
        </is>
      </c>
      <c r="B5" s="19" t="inlineStr">
        <is>
          <t>Wide</t>
        </is>
      </c>
      <c r="C5" s="19" t="inlineStr">
        <is>
          <t>Chest height (~1.2m)</t>
        </is>
      </c>
      <c r="D5" s="19" t="inlineStr">
        <is>
          <t>2.5-3m back</t>
        </is>
      </c>
      <c r="E5" s="19" t="inlineStr">
        <is>
          <t>Straight on, level</t>
        </is>
      </c>
      <c r="F5" s="19" t="inlineStr">
        <is>
          <t>1, 2, 9, 10</t>
        </is>
      </c>
      <c r="G5" s="19" t="inlineStr">
        <is>
          <t>Clips 9 and 10 are the same frame 12 hours apart. This is the one that carries the reel.</t>
        </is>
      </c>
    </row>
    <row r="6" ht="48" customHeight="1">
      <c r="A6" s="18" t="inlineStr">
        <is>
          <t>B</t>
        </is>
      </c>
      <c r="B6" s="19" t="inlineStr">
        <is>
          <t>Close - face</t>
        </is>
      </c>
      <c r="C6" s="19" t="inlineStr">
        <is>
          <t>Eye height (~1.5m)</t>
        </is>
      </c>
      <c r="D6" s="19" t="inlineStr">
        <is>
          <t>0.8-1m</t>
        </is>
      </c>
      <c r="E6" s="19" t="inlineStr">
        <is>
          <t>45 deg off-centre</t>
        </is>
      </c>
      <c r="F6" s="19" t="inlineStr">
        <is>
          <t>3, 4, 11</t>
        </is>
      </c>
      <c r="G6" s="19" t="inlineStr">
        <is>
          <t>Clips 3 and 4 differ ONLY in screen colour. Do not move the tripod between them.</t>
        </is>
      </c>
    </row>
    <row r="7" ht="48" customHeight="1">
      <c r="A7" s="18" t="inlineStr">
        <is>
          <t>C</t>
        </is>
      </c>
      <c r="B7" s="19" t="inlineStr">
        <is>
          <t>Mid - side on</t>
        </is>
      </c>
      <c r="C7" s="19" t="inlineStr">
        <is>
          <t>Chest height</t>
        </is>
      </c>
      <c r="D7" s="19" t="inlineStr">
        <is>
          <t>1.5-2m, side</t>
        </is>
      </c>
      <c r="E7" s="19" t="inlineStr">
        <is>
          <t>Profile, level</t>
        </is>
      </c>
      <c r="F7" s="19" t="inlineStr">
        <is>
          <t>5, 6</t>
        </is>
      </c>
      <c r="G7" s="19" t="inlineStr">
        <is>
          <t>Same chair position both times.</t>
        </is>
      </c>
    </row>
    <row r="8" ht="48" customHeight="1">
      <c r="A8" s="18" t="inlineStr">
        <is>
          <t>D</t>
        </is>
      </c>
      <c r="B8" s="19" t="inlineStr">
        <is>
          <t>Over-shoulder</t>
        </is>
      </c>
      <c r="C8" s="19" t="inlineStr">
        <is>
          <t>Above your shoulder (~1.6m)</t>
        </is>
      </c>
      <c r="D8" s="19" t="inlineStr">
        <is>
          <t>0.6m behind you</t>
        </is>
      </c>
      <c r="E8" s="19" t="inlineStr">
        <is>
          <t>Angled down at the screen</t>
        </is>
      </c>
      <c r="F8" s="19" t="inlineStr">
        <is>
          <t>7</t>
        </is>
      </c>
      <c r="G8" s="19" t="inlineStr">
        <is>
          <t>Tilt slightly off-square to the screen to kill banding.</t>
        </is>
      </c>
    </row>
    <row r="9" ht="48" customHeight="1">
      <c r="A9" s="18" t="inlineStr">
        <is>
          <t>E</t>
        </is>
      </c>
      <c r="B9" s="19" t="inlineStr">
        <is>
          <t>Very wide</t>
        </is>
      </c>
      <c r="C9" s="19" t="inlineStr">
        <is>
          <t>High (~1.8m, legs full)</t>
        </is>
      </c>
      <c r="D9" s="19" t="inlineStr">
        <is>
          <t>Room corner, as far as it goes</t>
        </is>
      </c>
      <c r="E9" s="19" t="inlineStr">
        <is>
          <t>Angled down</t>
        </is>
      </c>
      <c r="F9" s="19" t="inlineStr">
        <is>
          <t>12</t>
        </is>
      </c>
      <c r="G9" s="19" t="inlineStr">
        <is>
          <t>Get the mess in frame. Do not tidy first.</t>
        </is>
      </c>
    </row>
    <row r="11">
      <c r="A11" s="17" t="inlineStr">
        <is>
          <t>Monday setup checklist</t>
        </is>
      </c>
    </row>
    <row r="12">
      <c r="A12" s="21" t="inlineStr">
        <is>
          <t>1. Unbox, extend the legs fully once, check the head locks hold your phone's weight.</t>
        </is>
      </c>
    </row>
    <row r="13">
      <c r="A13" s="21" t="inlineStr">
        <is>
          <t>2. Fit the phone mount. Check it holds in VERTICAL orientation — some mounts only grip horizontally.</t>
        </is>
      </c>
    </row>
    <row r="14">
      <c r="A14" s="21" t="inlineStr">
        <is>
          <t>3. Set each mark A-E in turn. Tape the floor. Write the letter on the tape.</t>
        </is>
      </c>
    </row>
    <row r="15">
      <c r="A15" s="21" t="inlineStr">
        <is>
          <t>4. Photograph every framing from the phone itself. That photo is your reference on Wednesday.</t>
        </is>
      </c>
    </row>
    <row r="16">
      <c r="A16" s="21" t="inlineStr">
        <is>
          <t>5. Note the exact leg-height setting for each mark in the Height column above.</t>
        </is>
      </c>
    </row>
    <row r="17">
      <c r="A17" s="21" t="inlineStr">
        <is>
          <t>6. Do a 10-second test record at Mark B with the screen green, then red. Check your face is lit.</t>
        </is>
      </c>
    </row>
  </sheetData>
  <mergeCells count="6">
    <mergeCell ref="A13:G13"/>
    <mergeCell ref="A14:G14"/>
    <mergeCell ref="A17:G17"/>
    <mergeCell ref="A12:G12"/>
    <mergeCell ref="A16:G16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8" customWidth="1" min="3" max="3"/>
    <col width="56" customWidth="1" min="4" max="4"/>
  </cols>
  <sheetData>
    <row r="1">
      <c r="A1" s="1" t="inlineStr">
        <is>
          <t>Gear</t>
        </is>
      </c>
    </row>
    <row r="2">
      <c r="A2" s="2" t="inlineStr">
        <is>
          <t>Now that the tripod is coming, this is a short list.</t>
        </is>
      </c>
    </row>
    <row r="4">
      <c r="A4" s="3" t="inlineStr">
        <is>
          <t>Item</t>
        </is>
      </c>
      <c r="B4" s="3" t="inlineStr">
        <is>
          <t>Have it?</t>
        </is>
      </c>
      <c r="C4" s="3" t="inlineStr">
        <is>
          <t>Used for</t>
        </is>
      </c>
      <c r="D4" s="3" t="inlineStr">
        <is>
          <t>Note</t>
        </is>
      </c>
    </row>
    <row r="5" ht="30" customHeight="1">
      <c r="A5" s="18" t="inlineStr">
        <is>
          <t>Tripod + phone mount</t>
        </is>
      </c>
      <c r="B5" s="19" t="inlineStr">
        <is>
          <t>Mon 17th</t>
        </is>
      </c>
      <c r="C5" s="19" t="inlineStr">
        <is>
          <t>11 of 13 clips</t>
        </is>
      </c>
      <c r="D5" s="19" t="inlineStr">
        <is>
          <t>Check the mount grips VERTICALLY, not just landscape.</t>
        </is>
      </c>
    </row>
    <row r="6" ht="30" customHeight="1">
      <c r="A6" s="18" t="inlineStr">
        <is>
          <t>Your phone</t>
        </is>
      </c>
      <c r="B6" s="19" t="inlineStr">
        <is>
          <t>yes</t>
        </is>
      </c>
      <c r="C6" s="19" t="inlineStr">
        <is>
          <t>Camera</t>
        </is>
      </c>
      <c r="D6" s="19" t="inlineStr">
        <is>
          <t>Shoot 9:16 natively. Never crop from landscape.</t>
        </is>
      </c>
    </row>
    <row r="7" ht="30" customHeight="1">
      <c r="A7" s="18" t="inlineStr">
        <is>
          <t>Masking tape</t>
        </is>
      </c>
      <c r="B7" s="19" t="inlineStr"/>
      <c r="C7" s="19" t="inlineStr">
        <is>
          <t>Floor marks</t>
        </is>
      </c>
      <c r="D7" s="19" t="inlineStr">
        <is>
          <t>Five marks, A-E, written on the tape.</t>
        </is>
      </c>
    </row>
    <row r="8" ht="30" customHeight="1">
      <c r="A8" s="18" t="inlineStr">
        <is>
          <t>One window</t>
        </is>
      </c>
      <c r="B8" s="19" t="inlineStr">
        <is>
          <t>yes</t>
        </is>
      </c>
      <c r="C8" s="19" t="inlineStr">
        <is>
          <t>All Beauty light</t>
        </is>
      </c>
      <c r="D8" s="19" t="inlineStr">
        <is>
          <t>Sheer curtain or a white sheet softens it.</t>
        </is>
      </c>
    </row>
    <row r="9" ht="30" customHeight="1">
      <c r="A9" s="18" t="inlineStr">
        <is>
          <t>Desk lamp / monitor</t>
        </is>
      </c>
      <c r="B9" s="19" t="inlineStr">
        <is>
          <t>yes</t>
        </is>
      </c>
      <c r="C9" s="19" t="inlineStr">
        <is>
          <t>All Hell light</t>
        </is>
      </c>
      <c r="D9" s="19" t="inlineStr">
        <is>
          <t>Single hard source, everything else off.</t>
        </is>
      </c>
    </row>
    <row r="10" ht="30" customHeight="1">
      <c r="A10" s="18" t="inlineStr">
        <is>
          <t>Headphones</t>
        </is>
      </c>
      <c r="B10" s="19" t="inlineStr">
        <is>
          <t>yes</t>
        </is>
      </c>
      <c r="C10" s="19" t="inlineStr">
        <is>
          <t>Clips 9, 10</t>
        </is>
      </c>
      <c r="D10" s="19" t="inlineStr">
        <is>
          <t>Over-ear reads better in silhouette than buds.</t>
        </is>
      </c>
    </row>
    <row r="11" ht="30" customHeight="1">
      <c r="A11" s="18" t="inlineStr">
        <is>
          <t>Coffee cup</t>
        </is>
      </c>
      <c r="B11" s="19" t="inlineStr">
        <is>
          <t>yes</t>
        </is>
      </c>
      <c r="C11" s="19" t="inlineStr">
        <is>
          <t>Clip 1, clip 12</t>
        </is>
      </c>
      <c r="D11" s="19" t="inlineStr">
        <is>
          <t>Prop in clip 1, part of the mess in clip 12.</t>
        </is>
      </c>
    </row>
    <row r="12" ht="30" customHeight="1">
      <c r="A12" s="18" t="inlineStr">
        <is>
          <t>Your t-shirt</t>
        </is>
      </c>
      <c r="B12" s="19" t="inlineStr">
        <is>
          <t>yes</t>
        </is>
      </c>
      <c r="C12" s="19" t="inlineStr">
        <is>
          <t>Lens cloth</t>
        </is>
      </c>
      <c r="D12" s="19" t="inlineStr">
        <is>
          <t>Biggest free quality jump there is.</t>
        </is>
      </c>
    </row>
    <row r="13" ht="30" customHeight="1">
      <c r="A13" s="18" t="inlineStr">
        <is>
          <t>Wired earbuds</t>
        </is>
      </c>
      <c r="B13" s="19" t="inlineStr"/>
      <c r="C13" s="19" t="inlineStr">
        <is>
          <t>Shutter remote</t>
        </is>
      </c>
      <c r="D13" s="19" t="inlineStr">
        <is>
          <t>Volume button fires the shutter when you are in frame.</t>
        </is>
      </c>
    </row>
    <row r="14" ht="30" customHeight="1">
      <c r="A14" s="18" t="inlineStr">
        <is>
          <t>CapCut (free)</t>
        </is>
      </c>
      <c r="B14" s="19" t="inlineStr"/>
      <c r="C14" s="19" t="inlineStr">
        <is>
          <t>Edit</t>
        </is>
      </c>
      <c r="D14" s="19" t="inlineStr">
        <is>
          <t>Beat markers first, then clips.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52" customWidth="1" min="4" max="4"/>
  </cols>
  <sheetData>
    <row r="1">
      <c r="A1" s="1" t="inlineStr">
        <is>
          <t>Set these once at the start of every session</t>
        </is>
      </c>
    </row>
    <row r="2">
      <c r="A2" s="2" t="inlineStr">
        <is>
          <t>Most of these matter more now that you are on a tripod, not less.</t>
        </is>
      </c>
    </row>
    <row r="4">
      <c r="A4" s="3" t="inlineStr">
        <is>
          <t>#</t>
        </is>
      </c>
      <c r="B4" s="3" t="inlineStr">
        <is>
          <t>Do this</t>
        </is>
      </c>
      <c r="C4" s="3" t="inlineStr">
        <is>
          <t>How</t>
        </is>
      </c>
      <c r="D4" s="3" t="inlineStr">
        <is>
          <t>What goes wrong without it</t>
        </is>
      </c>
    </row>
    <row r="5" ht="32" customHeight="1">
      <c r="A5" s="19" t="n">
        <v>1</v>
      </c>
      <c r="B5" s="18" t="inlineStr">
        <is>
          <t>Clean the lens</t>
        </is>
      </c>
      <c r="C5" s="19" t="inlineStr">
        <is>
          <t>Wipe before every session</t>
        </is>
      </c>
      <c r="D5" s="19" t="inlineStr">
        <is>
          <t>Haze and glare you cannot fix in the edit</t>
        </is>
      </c>
    </row>
    <row r="6" ht="32" customHeight="1">
      <c r="A6" s="19" t="n">
        <v>2</v>
      </c>
      <c r="B6" s="18" t="inlineStr">
        <is>
          <t>Lock focus and exposure</t>
        </is>
      </c>
      <c r="C6" s="19" t="inlineStr">
        <is>
          <t>Tap and hold until AE/AF LOCK appears</t>
        </is>
      </c>
      <c r="D6" s="19" t="inlineStr">
        <is>
          <t>On a static tripod shot, a focus hunt is very visible</t>
        </is>
      </c>
    </row>
    <row r="7" ht="32" customHeight="1">
      <c r="A7" s="19" t="n">
        <v>3</v>
      </c>
      <c r="B7" s="18" t="inlineStr">
        <is>
          <t>Lock white balance if you can</t>
        </is>
      </c>
      <c r="C7" s="19" t="inlineStr">
        <is>
          <t>Pro/Manual mode in your camera app</t>
        </is>
      </c>
      <c r="D7" s="19" t="inlineStr">
        <is>
          <t>Clips 3 and 4 shift colour and stop reading as a pair</t>
        </is>
      </c>
    </row>
    <row r="8" ht="32" customHeight="1">
      <c r="A8" s="19" t="n">
        <v>4</v>
      </c>
      <c r="B8" s="18" t="inlineStr">
        <is>
          <t>Shoot 8-10s per clip</t>
        </is>
      </c>
      <c r="C8" s="19" t="inlineStr">
        <is>
          <t>Even though you need 2s</t>
        </is>
      </c>
      <c r="D8" s="19" t="inlineStr">
        <is>
          <t>No slack to cut on the beat, and no room to pick a take</t>
        </is>
      </c>
    </row>
    <row r="9" ht="32" customHeight="1">
      <c r="A9" s="19" t="n">
        <v>5</v>
      </c>
      <c r="B9" s="18" t="inlineStr">
        <is>
          <t>Three takes of every camera shot</t>
        </is>
      </c>
      <c r="C9" s="19" t="inlineStr">
        <is>
          <t>Same setup, roll again</t>
        </is>
      </c>
      <c r="D9" s="19" t="inlineStr">
        <is>
          <t>The third take is always the natural one</t>
        </is>
      </c>
    </row>
    <row r="10" ht="32" customHeight="1">
      <c r="A10" s="19" t="n">
        <v>6</v>
      </c>
      <c r="B10" s="18" t="inlineStr">
        <is>
          <t>Never digital zoom</t>
        </is>
      </c>
      <c r="C10" s="19" t="inlineStr">
        <is>
          <t>Move the tripod instead</t>
        </is>
      </c>
      <c r="D10" s="19" t="inlineStr">
        <is>
          <t>Zoom is just cropping — mushy footage</t>
        </is>
      </c>
    </row>
    <row r="11" ht="32" customHeight="1">
      <c r="A11" s="19" t="n">
        <v>7</v>
      </c>
      <c r="B11" s="18" t="inlineStr">
        <is>
          <t>Shoot vertical natively</t>
        </is>
      </c>
      <c r="C11" s="19" t="inlineStr">
        <is>
          <t>9:16 from the start</t>
        </is>
      </c>
      <c r="D11" s="19" t="inlineStr">
        <is>
          <t>Cropping landscape throws away most of your resolution</t>
        </is>
      </c>
    </row>
    <row r="12" ht="32" customHeight="1">
      <c r="A12" s="19" t="n">
        <v>8</v>
      </c>
      <c r="B12" s="18" t="inlineStr">
        <is>
          <t>Do Not Disturb on</t>
        </is>
      </c>
      <c r="C12" s="19" t="inlineStr">
        <is>
          <t>Before every take</t>
        </is>
      </c>
      <c r="D12" s="19" t="inlineStr">
        <is>
          <t>One banner mid-take and you reshoot</t>
        </is>
      </c>
    </row>
    <row r="13" ht="32" customHeight="1">
      <c r="A13" s="19" t="n">
        <v>9</v>
      </c>
      <c r="B13" s="18" t="inlineStr">
        <is>
          <t>Lock screen brightness</t>
        </is>
      </c>
      <c r="C13" s="19" t="inlineStr">
        <is>
          <t>Turn off auto-brightness</t>
        </is>
      </c>
      <c r="D13" s="19" t="inlineStr">
        <is>
          <t>Your key light changes mid-shot — fatal for clips 3 and 4</t>
        </is>
      </c>
    </row>
    <row r="14" ht="32" customHeight="1">
      <c r="A14" s="19" t="n">
        <v>10</v>
      </c>
      <c r="B14" s="18" t="inlineStr">
        <is>
          <t>Photograph each framing</t>
        </is>
      </c>
      <c r="C14" s="19" t="inlineStr">
        <is>
          <t>On Monday, at every mark</t>
        </is>
      </c>
      <c r="D14" s="19" t="inlineStr">
        <is>
          <t>You cannot rebuild Mark A on Wednesday from memory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8" customWidth="1" min="3" max="3"/>
  </cols>
  <sheetData>
    <row r="1">
      <c r="A1" s="1" t="inlineStr">
        <is>
          <t>Edit order — Thursday 20 Aug</t>
        </is>
      </c>
    </row>
    <row r="2">
      <c r="A2" s="2" t="inlineStr">
        <is>
          <t>Beat first, footage second. Never the other way round.</t>
        </is>
      </c>
    </row>
    <row r="4">
      <c r="A4" s="3" t="inlineStr">
        <is>
          <t>Step</t>
        </is>
      </c>
      <c r="B4" s="3" t="inlineStr">
        <is>
          <t>Do</t>
        </is>
      </c>
      <c r="C4" s="3" t="inlineStr">
        <is>
          <t>Detail</t>
        </is>
      </c>
    </row>
    <row r="5" ht="38" customHeight="1">
      <c r="A5" s="19" t="n">
        <v>1</v>
      </c>
      <c r="B5" s="18" t="inlineStr">
        <is>
          <t>Add the audio first</t>
        </is>
      </c>
      <c r="C5" s="19" t="inlineStr">
        <is>
          <t>In Instagram, search 'Pretty Little Baby' in the Reels audio picker. Licensed, un-mutable, and it puts you on that audio's discovery page.</t>
        </is>
      </c>
    </row>
    <row r="6" ht="38" customHeight="1">
      <c r="A6" s="19" t="n">
        <v>2</v>
      </c>
      <c r="B6" s="18" t="inlineStr">
        <is>
          <t>Mark the beats</t>
        </is>
      </c>
      <c r="C6" s="19" t="inlineStr">
        <is>
          <t>In CapCut, place a marker on every bass hit before importing a single clip.</t>
        </is>
      </c>
    </row>
    <row r="7" ht="38" customHeight="1">
      <c r="A7" s="19" t="n">
        <v>3</v>
      </c>
      <c r="B7" s="18" t="inlineStr">
        <is>
          <t>Drop Hell on the bass</t>
        </is>
      </c>
      <c r="C7" s="19" t="inlineStr">
        <is>
          <t>Every Hell clip lands on a drop. Every Beauty clip lands on the vocal.</t>
        </is>
      </c>
    </row>
    <row r="8" ht="38" customHeight="1">
      <c r="A8" s="19" t="n">
        <v>4</v>
      </c>
      <c r="B8" s="18" t="inlineStr">
        <is>
          <t>Cut the pairs back to back</t>
        </is>
      </c>
      <c r="C8" s="19" t="inlineStr">
        <is>
          <t>1-2, 3-4, 5-6, 7-8, 9-10, 11-12. The pairing is the whole idea — do not reorder.</t>
        </is>
      </c>
    </row>
    <row r="9" ht="38" customHeight="1">
      <c r="A9" s="19" t="n">
        <v>5</v>
      </c>
      <c r="B9" s="18" t="inlineStr">
        <is>
          <t>Trim to the marker, not the action</t>
        </is>
      </c>
      <c r="C9" s="19" t="inlineStr">
        <is>
          <t>If a cut feels slightly early it is right. Slightly late always reads as sloppy.</t>
        </is>
      </c>
    </row>
    <row r="10" ht="38" customHeight="1">
      <c r="A10" s="19" t="n">
        <v>6</v>
      </c>
      <c r="B10" s="18" t="inlineStr">
        <is>
          <t>Add on-screen text</t>
        </is>
      </c>
      <c r="C10" s="19" t="inlineStr">
        <is>
          <t>Column N of the Shot List. Same font, same position, every clip.</t>
        </is>
      </c>
    </row>
    <row r="11" ht="38" customHeight="1">
      <c r="A11" s="19" t="n">
        <v>7</v>
      </c>
      <c r="B11" s="18" t="inlineStr">
        <is>
          <t>Hold the closer</t>
        </is>
      </c>
      <c r="C11" s="19" t="inlineStr">
        <is>
          <t>Clip 13 gets 4 seconds. The hold is the payoff — resist cutting it short.</t>
        </is>
      </c>
    </row>
    <row r="12" ht="38" customHeight="1">
      <c r="A12" s="19" t="n">
        <v>8</v>
      </c>
      <c r="B12" s="18" t="inlineStr">
        <is>
          <t>Set the cover frame</t>
        </is>
      </c>
      <c r="C12" s="19" t="inlineStr">
        <is>
          <t>The red PATCH REFUSED frame from clip 13. Show the thing, never an abstract image.</t>
        </is>
      </c>
    </row>
    <row r="13" ht="38" customHeight="1">
      <c r="A13" s="19" t="n">
        <v>9</v>
      </c>
      <c r="B13" s="18" t="inlineStr">
        <is>
          <t>Watch it muted</t>
        </is>
      </c>
      <c r="C13" s="19" t="inlineStr">
        <is>
          <t>If it does not read without sound, the text is wrong. Most people watch muted.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2026-08-15T05:12:27Z</dcterms:created>
  <dcterms:modified xsi:type="dcterms:W3CDTF">2026-08-15T05:12:27Z</dcterms:modified>
</cp:coreProperties>
</file>