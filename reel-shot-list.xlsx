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t List" sheetId="1" state="visible" r:id="rId1"/>
    <sheet name="Shot Detail" sheetId="2" state="visible" r:id="rId2"/>
    <sheet name="Room &amp; Light" sheetId="3" state="visible" r:id="rId3"/>
    <sheet name="Tripod Marks" sheetId="4" state="visible" r:id="rId4"/>
    <sheet name="Shoot Diary" sheetId="5" state="visible" r:id="rId5"/>
    <sheet name="Gear &amp; Setup" sheetId="6" state="visible" r:id="rId6"/>
    <sheet name="Camera Settings" sheetId="7" state="visible" r:id="rId7"/>
    <sheet name="Editing Walkthrough" sheetId="8" state="visible" r:id="rId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2430"/>
      <sz val="14"/>
    </font>
    <font>
      <name val="Arial"/>
      <i val="1"/>
      <color rgb="005C6373"/>
      <sz val="9"/>
    </font>
    <font>
      <name val="Arial"/>
      <b val="1"/>
      <color rgb="001F2430"/>
      <sz val="11"/>
    </font>
    <font>
      <name val="Courier New"/>
      <color rgb="001F2430"/>
      <sz val="10"/>
    </font>
    <font>
      <name val="Arial"/>
      <b val="1"/>
      <color rgb="00FFFFFF"/>
      <sz val="10"/>
    </font>
    <font>
      <name val="Arial"/>
      <b val="1"/>
      <color rgb="001F2430"/>
      <sz val="10"/>
    </font>
    <font>
      <name val="Arial"/>
      <color rgb="001F2430"/>
      <sz val="10"/>
    </font>
    <font>
      <name val="Arial"/>
      <b val="1"/>
      <color rgb="000000FF"/>
      <sz val="10"/>
    </font>
    <font>
      <name val="Arial"/>
      <b val="1"/>
      <color rgb="00FFFFFF"/>
      <sz val="11"/>
    </font>
  </fonts>
  <fills count="10">
    <fill>
      <patternFill/>
    </fill>
    <fill>
      <patternFill patternType="gray125"/>
    </fill>
    <fill>
      <patternFill patternType="solid">
        <fgColor rgb="001F2430"/>
      </patternFill>
    </fill>
    <fill>
      <patternFill patternType="solid">
        <fgColor rgb="00FFFBEA"/>
      </patternFill>
    </fill>
    <fill>
      <patternFill patternType="solid">
        <fgColor rgb="00E8F4EC"/>
      </patternFill>
    </fill>
    <fill>
      <patternFill patternType="solid">
        <fgColor rgb="00E4EBF7"/>
      </patternFill>
    </fill>
    <fill>
      <patternFill patternType="solid">
        <fgColor rgb="00FBE9EF"/>
      </patternFill>
    </fill>
    <fill>
      <patternFill patternType="solid">
        <fgColor rgb="00FFF4D6"/>
      </patternFill>
    </fill>
    <fill>
      <patternFill patternType="solid">
        <fgColor rgb="00EDEFF3"/>
      </patternFill>
    </fill>
    <fill>
      <patternFill patternType="solid">
        <fgColor rgb="003A4763"/>
      </patternFill>
    </fill>
  </fills>
  <borders count="2">
    <border>
      <left/>
      <right/>
      <top/>
      <bottom/>
      <diagonal/>
    </border>
    <border>
      <left style="thin">
        <color rgb="00C9CFD8"/>
      </left>
      <right style="thin">
        <color rgb="00C9CFD8"/>
      </right>
      <top style="thin">
        <color rgb="00C9CFD8"/>
      </top>
      <bottom style="thin">
        <color rgb="00C9CFD8"/>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5" fillId="2"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4" borderId="1" applyAlignment="1" pivotButton="0" quotePrefix="0" xfId="0">
      <alignment vertical="top" wrapText="1"/>
    </xf>
    <xf numFmtId="0" fontId="8"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6" borderId="1" applyAlignment="1" pivotButton="0" quotePrefix="0" xfId="0">
      <alignment vertical="top"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7" borderId="1" applyAlignment="1" pivotButton="0" quotePrefix="0" xfId="0">
      <alignment vertical="top" wrapText="1"/>
    </xf>
    <xf numFmtId="0" fontId="0" fillId="8" borderId="1" pivotButton="0" quotePrefix="0" xfId="0"/>
    <xf numFmtId="0" fontId="6" fillId="8" borderId="1" pivotButton="0" quotePrefix="0" xfId="0"/>
    <xf numFmtId="0" fontId="6" fillId="0" borderId="0" pivotButton="0" quotePrefix="0" xfId="0"/>
    <xf numFmtId="0" fontId="9" fillId="2" borderId="0" applyAlignment="1" pivotButton="0" quotePrefix="0" xfId="0">
      <alignment vertical="center" indent="1"/>
    </xf>
    <xf numFmtId="0" fontId="6" fillId="4" borderId="1" applyAlignment="1" pivotButton="0" quotePrefix="0" xfId="0">
      <alignment vertical="top"/>
    </xf>
    <xf numFmtId="0" fontId="6" fillId="6" borderId="1" applyAlignment="1" pivotButton="0" quotePrefix="0" xfId="0">
      <alignment vertical="top"/>
    </xf>
    <xf numFmtId="0" fontId="6" fillId="7" borderId="1" applyAlignment="1" pivotButton="0" quotePrefix="0" xfId="0">
      <alignment vertical="top"/>
    </xf>
    <xf numFmtId="0" fontId="3" fillId="0" borderId="0" pivotButton="0" quotePrefix="0" xfId="0"/>
    <xf numFmtId="0" fontId="4" fillId="0" borderId="0"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7" fillId="0" borderId="0" applyAlignment="1" pivotButton="0" quotePrefix="0" xfId="0">
      <alignment vertical="top" wrapText="1"/>
    </xf>
    <xf numFmtId="0" fontId="5" fillId="9" borderId="0" applyAlignment="1" pivotButton="0" quotePrefix="0" xfId="0">
      <alignment vertical="center" indent="1"/>
    </xf>
    <xf numFmtId="0" fontId="0" fillId="3" borderId="1" pivotButton="0" quotePrefix="0" xfId="0"/>
    <xf numFmtId="0" fontId="7"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18" customWidth="1" min="3" max="3"/>
    <col width="8" customWidth="1" min="4" max="4"/>
    <col width="9" customWidth="1" min="5" max="5"/>
    <col width="8" customWidth="1" min="6" max="6"/>
    <col width="15" customWidth="1" min="7" max="7"/>
    <col width="11" customWidth="1" min="8" max="8"/>
    <col width="11" customWidth="1" min="9" max="9"/>
    <col width="7" customWidth="1" min="10" max="10"/>
    <col width="24" customWidth="1" min="11" max="11"/>
    <col width="8" customWidth="1" min="12" max="12"/>
    <col width="44" customWidth="1" min="13" max="13"/>
    <col width="28" customWidth="1" min="14" max="14"/>
  </cols>
  <sheetData>
    <row r="1">
      <c r="A1" s="1" t="inlineStr">
        <is>
          <t>Reel — The Beauty and the Hell of Being a Developer</t>
        </is>
      </c>
    </row>
    <row r="2">
      <c r="A2" s="2" t="inlineStr">
        <is>
          <t>11 camera clips, 2 screen recordings. Camera goes BEHIND you or to your LEFT only. Audio: "Pretty Little Baby" x bass — added inside Instagram, not in your export.</t>
        </is>
      </c>
    </row>
    <row r="3">
      <c r="A3" s="2" t="inlineStr">
        <is>
          <t>Blue cells are yours. Change a Duration and everything below re-syncs. See Shot Detail for the step-by-step of each clip.</t>
        </is>
      </c>
    </row>
    <row r="5" ht="28" customHeight="1">
      <c r="A5" s="3" t="inlineStr">
        <is>
          <t>Clip</t>
        </is>
      </c>
      <c r="B5" s="3" t="inlineStr">
        <is>
          <t>Mood</t>
        </is>
      </c>
      <c r="C5" s="3" t="inlineStr">
        <is>
          <t>Pair</t>
        </is>
      </c>
      <c r="D5" s="3" t="inlineStr">
        <is>
          <t>Dur (s)</t>
        </is>
      </c>
      <c r="E5" s="3" t="inlineStr">
        <is>
          <t>Start (s)</t>
        </is>
      </c>
      <c r="F5" s="3" t="inlineStr">
        <is>
          <t>End (s)</t>
        </is>
      </c>
      <c r="G5" s="3" t="inlineStr">
        <is>
          <t>Timecode</t>
        </is>
      </c>
      <c r="H5" s="3" t="inlineStr">
        <is>
          <t>Capture</t>
        </is>
      </c>
      <c r="I5" s="3" t="inlineStr">
        <is>
          <t>Session</t>
        </is>
      </c>
      <c r="J5" s="3" t="inlineStr">
        <is>
          <t>Mark</t>
        </is>
      </c>
      <c r="K5" s="3" t="inlineStr">
        <is>
          <t>Camera is</t>
        </is>
      </c>
      <c r="L5" s="3" t="inlineStr">
        <is>
          <t>Lamp</t>
        </is>
      </c>
      <c r="M5" s="3" t="inlineStr">
        <is>
          <t>What happens</t>
        </is>
      </c>
      <c r="N5" s="3" t="inlineStr">
        <is>
          <t>On-screen text</t>
        </is>
      </c>
    </row>
    <row r="6" ht="42" customHeight="1">
      <c r="A6" s="4" t="n">
        <v>1</v>
      </c>
      <c r="B6" s="5" t="inlineStr">
        <is>
          <t>Beauty</t>
        </is>
      </c>
      <c r="C6" s="6" t="inlineStr">
        <is>
          <t>1 - The sit-down</t>
        </is>
      </c>
      <c r="D6" s="7" t="n">
        <v>2</v>
      </c>
      <c r="E6" s="4" t="n">
        <v>0</v>
      </c>
      <c r="F6" s="4">
        <f>E6+D6</f>
        <v/>
      </c>
      <c r="G6" s="4">
        <f>INT(E6/60)&amp;":"&amp;TEXT(MOD(E6,60),"00")&amp;" - "&amp;INT(F6/60)&amp;":"&amp;TEXT(MOD(F6,60),"00")</f>
        <v/>
      </c>
      <c r="H6" s="8" t="inlineStr">
        <is>
          <t>Camera</t>
        </is>
      </c>
      <c r="I6" s="4" t="inlineStr">
        <is>
          <t>S2 Day</t>
        </is>
      </c>
      <c r="J6" s="5" t="inlineStr">
        <is>
          <t>A</t>
        </is>
      </c>
      <c r="K6" s="6" t="inlineStr">
        <is>
          <t>Behind you, high</t>
        </is>
      </c>
      <c r="L6" s="5" t="inlineStr">
        <is>
          <t>GOLD</t>
        </is>
      </c>
      <c r="M6" s="6" t="inlineStr">
        <is>
          <t>You walk in, sit, set the coffee down, hands go to the keyboard.</t>
        </is>
      </c>
      <c r="N6" s="6" t="inlineStr">
        <is>
          <t>day one of anything</t>
        </is>
      </c>
    </row>
    <row r="7" ht="42" customHeight="1">
      <c r="A7" s="9" t="n">
        <v>2</v>
      </c>
      <c r="B7" s="10" t="inlineStr">
        <is>
          <t>Hell</t>
        </is>
      </c>
      <c r="C7" s="11" t="inlineStr">
        <is>
          <t>1 - The sit-down</t>
        </is>
      </c>
      <c r="D7" s="7" t="n">
        <v>2</v>
      </c>
      <c r="E7" s="9">
        <f>F6</f>
        <v/>
      </c>
      <c r="F7" s="9">
        <f>E7+D7</f>
        <v/>
      </c>
      <c r="G7" s="9">
        <f>INT(E7/60)&amp;":"&amp;TEXT(MOD(E7,60),"00")&amp;" - "&amp;INT(F7/60)&amp;":"&amp;TEXT(MOD(F7,60),"00")</f>
        <v/>
      </c>
      <c r="H7" s="8" t="inlineStr">
        <is>
          <t>Camera</t>
        </is>
      </c>
      <c r="I7" s="9" t="inlineStr">
        <is>
          <t>S1 Night</t>
        </is>
      </c>
      <c r="J7" s="10" t="inlineStr">
        <is>
          <t>A</t>
        </is>
      </c>
      <c r="K7" s="11" t="inlineStr">
        <is>
          <t>Behind you, high</t>
        </is>
      </c>
      <c r="L7" s="10" t="inlineStr">
        <is>
          <t>WHITE</t>
        </is>
      </c>
      <c r="M7" s="11" t="inlineStr">
        <is>
          <t>Same frame. Slumped, head in one hand. Screen still blank.</t>
        </is>
      </c>
      <c r="N7" s="11" t="inlineStr">
        <is>
          <t>six hours later</t>
        </is>
      </c>
    </row>
    <row r="8" ht="42" customHeight="1">
      <c r="A8" s="4" t="n">
        <v>3</v>
      </c>
      <c r="B8" s="5" t="inlineStr">
        <is>
          <t>Beauty</t>
        </is>
      </c>
      <c r="C8" s="6" t="inlineStr">
        <is>
          <t>2 - The tests</t>
        </is>
      </c>
      <c r="D8" s="7" t="n">
        <v>2</v>
      </c>
      <c r="E8" s="4">
        <f>F7</f>
        <v/>
      </c>
      <c r="F8" s="4">
        <f>E8+D8</f>
        <v/>
      </c>
      <c r="G8" s="4">
        <f>INT(E8/60)&amp;":"&amp;TEXT(MOD(E8,60),"00")&amp;" - "&amp;INT(F8/60)&amp;":"&amp;TEXT(MOD(F8,60),"00")</f>
        <v/>
      </c>
      <c r="H8" s="8" t="inlineStr">
        <is>
          <t>Camera</t>
        </is>
      </c>
      <c r="I8" s="4" t="inlineStr">
        <is>
          <t>S1 Night</t>
        </is>
      </c>
      <c r="J8" s="5" t="inlineStr">
        <is>
          <t>B</t>
        </is>
      </c>
      <c r="K8" s="6" t="inlineStr">
        <is>
          <t>Your left, eye height</t>
        </is>
      </c>
      <c r="L8" s="5" t="inlineStr">
        <is>
          <t>OFF</t>
        </is>
      </c>
      <c r="M8" s="6" t="inlineStr">
        <is>
          <t>Profile of your face lit green by the screen. Small, real smile.</t>
        </is>
      </c>
      <c r="N8" s="6" t="inlineStr">
        <is>
          <t>98 passed</t>
        </is>
      </c>
    </row>
    <row r="9" ht="42" customHeight="1">
      <c r="A9" s="9" t="n">
        <v>4</v>
      </c>
      <c r="B9" s="10" t="inlineStr">
        <is>
          <t>Hell</t>
        </is>
      </c>
      <c r="C9" s="11" t="inlineStr">
        <is>
          <t>2 - The tests</t>
        </is>
      </c>
      <c r="D9" s="7" t="n">
        <v>2</v>
      </c>
      <c r="E9" s="9">
        <f>F8</f>
        <v/>
      </c>
      <c r="F9" s="9">
        <f>E9+D9</f>
        <v/>
      </c>
      <c r="G9" s="9">
        <f>INT(E9/60)&amp;":"&amp;TEXT(MOD(E9,60),"00")&amp;" - "&amp;INT(F9/60)&amp;":"&amp;TEXT(MOD(F9,60),"00")</f>
        <v/>
      </c>
      <c r="H9" s="8" t="inlineStr">
        <is>
          <t>Camera</t>
        </is>
      </c>
      <c r="I9" s="9" t="inlineStr">
        <is>
          <t>S1 Night</t>
        </is>
      </c>
      <c r="J9" s="10" t="inlineStr">
        <is>
          <t>B</t>
        </is>
      </c>
      <c r="K9" s="11" t="inlineStr">
        <is>
          <t>Your left, eye height</t>
        </is>
      </c>
      <c r="L9" s="10" t="inlineStr">
        <is>
          <t>OFF</t>
        </is>
      </c>
      <c r="M9" s="11" t="inlineStr">
        <is>
          <t>Same profile, lit red. Dead-eyed. Try not to blink.</t>
        </is>
      </c>
      <c r="N9" s="11" t="inlineStr">
        <is>
          <t>one line. 3:47am.</t>
        </is>
      </c>
    </row>
    <row r="10" ht="42" customHeight="1">
      <c r="A10" s="4" t="n">
        <v>5</v>
      </c>
      <c r="B10" s="5" t="inlineStr">
        <is>
          <t>Beauty</t>
        </is>
      </c>
      <c r="C10" s="6" t="inlineStr">
        <is>
          <t>3 - The ship</t>
        </is>
      </c>
      <c r="D10" s="7" t="n">
        <v>2</v>
      </c>
      <c r="E10" s="4">
        <f>F9</f>
        <v/>
      </c>
      <c r="F10" s="4">
        <f>E10+D10</f>
        <v/>
      </c>
      <c r="G10" s="4">
        <f>INT(E10/60)&amp;":"&amp;TEXT(MOD(E10,60),"00")&amp;" - "&amp;INT(F10/60)&amp;":"&amp;TEXT(MOD(F10,60),"00")</f>
        <v/>
      </c>
      <c r="H10" s="8" t="inlineStr">
        <is>
          <t>Camera</t>
        </is>
      </c>
      <c r="I10" s="4" t="inlineStr">
        <is>
          <t>S2 Day</t>
        </is>
      </c>
      <c r="J10" s="5" t="inlineStr">
        <is>
          <t>C</t>
        </is>
      </c>
      <c r="K10" s="6" t="inlineStr">
        <is>
          <t>Your left, chest height</t>
        </is>
      </c>
      <c r="L10" s="5" t="inlineStr">
        <is>
          <t>GOLD</t>
        </is>
      </c>
      <c r="M10" s="6" t="inlineStr">
        <is>
          <t>You hit Enter, lean back, arms behind your head.</t>
        </is>
      </c>
      <c r="N10" s="6" t="inlineStr">
        <is>
          <t>shipped</t>
        </is>
      </c>
    </row>
    <row r="11" ht="42" customHeight="1">
      <c r="A11" s="9" t="n">
        <v>6</v>
      </c>
      <c r="B11" s="10" t="inlineStr">
        <is>
          <t>Hell</t>
        </is>
      </c>
      <c r="C11" s="11" t="inlineStr">
        <is>
          <t>3 - The ship</t>
        </is>
      </c>
      <c r="D11" s="7" t="n">
        <v>2</v>
      </c>
      <c r="E11" s="9">
        <f>F10</f>
        <v/>
      </c>
      <c r="F11" s="9">
        <f>E11+D11</f>
        <v/>
      </c>
      <c r="G11" s="9">
        <f>INT(E11/60)&amp;":"&amp;TEXT(MOD(E11,60),"00")&amp;" - "&amp;INT(F11/60)&amp;":"&amp;TEXT(MOD(F11,60),"00")</f>
        <v/>
      </c>
      <c r="H11" s="8" t="inlineStr">
        <is>
          <t>Camera</t>
        </is>
      </c>
      <c r="I11" s="9" t="inlineStr">
        <is>
          <t>S1 Night</t>
        </is>
      </c>
      <c r="J11" s="10" t="inlineStr">
        <is>
          <t>C</t>
        </is>
      </c>
      <c r="K11" s="11" t="inlineStr">
        <is>
          <t>Your left, chest height</t>
        </is>
      </c>
      <c r="L11" s="10" t="inlineStr">
        <is>
          <t>WHITE</t>
        </is>
      </c>
      <c r="M11" s="11" t="inlineStr">
        <is>
          <t>Same frame. You lurch forward as the laptop lights up.</t>
        </is>
      </c>
      <c r="N11" s="11" t="inlineStr">
        <is>
          <t>four minutes later</t>
        </is>
      </c>
    </row>
    <row r="12" ht="42" customHeight="1">
      <c r="A12" s="4" t="n">
        <v>7</v>
      </c>
      <c r="B12" s="5" t="inlineStr">
        <is>
          <t>Beauty</t>
        </is>
      </c>
      <c r="C12" s="6" t="inlineStr">
        <is>
          <t>4 - The bug</t>
        </is>
      </c>
      <c r="D12" s="7" t="n">
        <v>2</v>
      </c>
      <c r="E12" s="4">
        <f>F11</f>
        <v/>
      </c>
      <c r="F12" s="4">
        <f>E12+D12</f>
        <v/>
      </c>
      <c r="G12" s="4">
        <f>INT(E12/60)&amp;":"&amp;TEXT(MOD(E12,60),"00")&amp;" - "&amp;INT(F12/60)&amp;":"&amp;TEXT(MOD(F12,60),"00")</f>
        <v/>
      </c>
      <c r="H12" s="8" t="inlineStr">
        <is>
          <t>Camera</t>
        </is>
      </c>
      <c r="I12" s="4" t="inlineStr">
        <is>
          <t>S2 Day</t>
        </is>
      </c>
      <c r="J12" s="5" t="inlineStr">
        <is>
          <t>D</t>
        </is>
      </c>
      <c r="K12" s="6" t="inlineStr">
        <is>
          <t>Behind, over your shoulder</t>
        </is>
      </c>
      <c r="L12" s="5" t="inlineStr">
        <is>
          <t>GOLD</t>
        </is>
      </c>
      <c r="M12" s="6" t="inlineStr">
        <is>
          <t>Your hand comes up and points at the screen. Found it.</t>
        </is>
      </c>
      <c r="N12" s="6" t="inlineStr">
        <is>
          <t>found it</t>
        </is>
      </c>
    </row>
    <row r="13" ht="42" customHeight="1">
      <c r="A13" s="9" t="n">
        <v>8</v>
      </c>
      <c r="B13" s="10" t="inlineStr">
        <is>
          <t>Hell</t>
        </is>
      </c>
      <c r="C13" s="11" t="inlineStr">
        <is>
          <t>4 - The bug</t>
        </is>
      </c>
      <c r="D13" s="7" t="n">
        <v>2</v>
      </c>
      <c r="E13" s="9">
        <f>F12</f>
        <v/>
      </c>
      <c r="F13" s="9">
        <f>E13+D13</f>
        <v/>
      </c>
      <c r="G13" s="9">
        <f>INT(E13/60)&amp;":"&amp;TEXT(MOD(E13,60),"00")&amp;" - "&amp;INT(F13/60)&amp;":"&amp;TEXT(MOD(F13,60),"00")</f>
        <v/>
      </c>
      <c r="H13" s="9" t="inlineStr">
        <is>
          <t>Screen rec</t>
        </is>
      </c>
      <c r="I13" s="9" t="inlineStr">
        <is>
          <t>S3 Screen</t>
        </is>
      </c>
      <c r="J13" s="10" t="inlineStr">
        <is>
          <t>-</t>
        </is>
      </c>
      <c r="K13" s="11" t="inlineStr">
        <is>
          <t>-</t>
        </is>
      </c>
      <c r="L13" s="10" t="inlineStr">
        <is>
          <t>-</t>
        </is>
      </c>
      <c r="M13" s="11" t="inlineStr">
        <is>
          <t>git blame on that line - your own name, months ago.</t>
        </is>
      </c>
      <c r="N13" s="11" t="inlineStr">
        <is>
          <t>it was me. eight months ago.</t>
        </is>
      </c>
    </row>
    <row r="14" ht="42" customHeight="1">
      <c r="A14" s="4" t="n">
        <v>9</v>
      </c>
      <c r="B14" s="5" t="inlineStr">
        <is>
          <t>Beauty</t>
        </is>
      </c>
      <c r="C14" s="6" t="inlineStr">
        <is>
          <t>5 - Flow state</t>
        </is>
      </c>
      <c r="D14" s="7" t="n">
        <v>2</v>
      </c>
      <c r="E14" s="4">
        <f>F13</f>
        <v/>
      </c>
      <c r="F14" s="4">
        <f>E14+D14</f>
        <v/>
      </c>
      <c r="G14" s="4">
        <f>INT(E14/60)&amp;":"&amp;TEXT(MOD(E14,60),"00")&amp;" - "&amp;INT(F14/60)&amp;":"&amp;TEXT(MOD(F14,60),"00")</f>
        <v/>
      </c>
      <c r="H14" s="8" t="inlineStr">
        <is>
          <t>Camera</t>
        </is>
      </c>
      <c r="I14" s="4" t="inlineStr">
        <is>
          <t>S1 Night</t>
        </is>
      </c>
      <c r="J14" s="5" t="inlineStr">
        <is>
          <t>A</t>
        </is>
      </c>
      <c r="K14" s="6" t="inlineStr">
        <is>
          <t>Behind you, high</t>
        </is>
      </c>
      <c r="L14" s="5" t="inlineStr">
        <is>
          <t>OFF</t>
        </is>
      </c>
      <c r="M14" s="6" t="inlineStr">
        <is>
          <t>Headphones on. You in silhouette against the glowing screen.</t>
        </is>
      </c>
      <c r="N14" s="6" t="inlineStr">
        <is>
          <t>3am is the only quiet hour</t>
        </is>
      </c>
    </row>
    <row r="15" ht="42" customHeight="1">
      <c r="A15" s="9" t="n">
        <v>10</v>
      </c>
      <c r="B15" s="10" t="inlineStr">
        <is>
          <t>Hell</t>
        </is>
      </c>
      <c r="C15" s="11" t="inlineStr">
        <is>
          <t>5 - Flow state</t>
        </is>
      </c>
      <c r="D15" s="7" t="n">
        <v>2</v>
      </c>
      <c r="E15" s="9">
        <f>F14</f>
        <v/>
      </c>
      <c r="F15" s="9">
        <f>E15+D15</f>
        <v/>
      </c>
      <c r="G15" s="9">
        <f>INT(E15/60)&amp;":"&amp;TEXT(MOD(E15,60),"00")&amp;" - "&amp;INT(F15/60)&amp;":"&amp;TEXT(MOD(F15,60),"00")</f>
        <v/>
      </c>
      <c r="H15" s="8" t="inlineStr">
        <is>
          <t>Camera</t>
        </is>
      </c>
      <c r="I15" s="9" t="inlineStr">
        <is>
          <t>S1 Night</t>
        </is>
      </c>
      <c r="J15" s="10" t="inlineStr">
        <is>
          <t>A</t>
        </is>
      </c>
      <c r="K15" s="11" t="inlineStr">
        <is>
          <t>Behind you, high</t>
        </is>
      </c>
      <c r="L15" s="10" t="inlineStr">
        <is>
          <t>WARM</t>
        </is>
      </c>
      <c r="M15" s="11" t="inlineStr">
        <is>
          <t>Identical frame. Warm light creeping in. Same posture, more tired.</t>
        </is>
      </c>
      <c r="N15" s="11" t="inlineStr">
        <is>
          <t>still here</t>
        </is>
      </c>
    </row>
    <row r="16" ht="42" customHeight="1">
      <c r="A16" s="4" t="n">
        <v>11</v>
      </c>
      <c r="B16" s="5" t="inlineStr">
        <is>
          <t>Beauty</t>
        </is>
      </c>
      <c r="C16" s="6" t="inlineStr">
        <is>
          <t>6 - It works</t>
        </is>
      </c>
      <c r="D16" s="7" t="n">
        <v>2</v>
      </c>
      <c r="E16" s="4">
        <f>F15</f>
        <v/>
      </c>
      <c r="F16" s="4">
        <f>E16+D16</f>
        <v/>
      </c>
      <c r="G16" s="4">
        <f>INT(E16/60)&amp;":"&amp;TEXT(MOD(E16,60),"00")&amp;" - "&amp;INT(F16/60)&amp;":"&amp;TEXT(MOD(F16,60),"00")</f>
        <v/>
      </c>
      <c r="H16" s="8" t="inlineStr">
        <is>
          <t>Camera</t>
        </is>
      </c>
      <c r="I16" s="4" t="inlineStr">
        <is>
          <t>S2 Day</t>
        </is>
      </c>
      <c r="J16" s="5" t="inlineStr">
        <is>
          <t>B</t>
        </is>
      </c>
      <c r="K16" s="6" t="inlineStr">
        <is>
          <t>Your left, eye height</t>
        </is>
      </c>
      <c r="L16" s="5" t="inlineStr">
        <is>
          <t>GOLD</t>
        </is>
      </c>
      <c r="M16" s="6" t="inlineStr">
        <is>
          <t>Your real reaction as the thing runs for the first time.</t>
        </is>
      </c>
      <c r="N16" s="6" t="inlineStr">
        <is>
          <t>it works</t>
        </is>
      </c>
    </row>
    <row r="17" ht="42" customHeight="1">
      <c r="A17" s="9" t="n">
        <v>12</v>
      </c>
      <c r="B17" s="10" t="inlineStr">
        <is>
          <t>Hell</t>
        </is>
      </c>
      <c r="C17" s="11" t="inlineStr">
        <is>
          <t>6 - It works</t>
        </is>
      </c>
      <c r="D17" s="7" t="n">
        <v>2</v>
      </c>
      <c r="E17" s="9">
        <f>F16</f>
        <v/>
      </c>
      <c r="F17" s="9">
        <f>E17+D17</f>
        <v/>
      </c>
      <c r="G17" s="9">
        <f>INT(E17/60)&amp;":"&amp;TEXT(MOD(E17,60),"00")&amp;" - "&amp;INT(F17/60)&amp;":"&amp;TEXT(MOD(F17,60),"00")</f>
        <v/>
      </c>
      <c r="H17" s="8" t="inlineStr">
        <is>
          <t>Camera</t>
        </is>
      </c>
      <c r="I17" s="9" t="inlineStr">
        <is>
          <t>S1 Night</t>
        </is>
      </c>
      <c r="J17" s="10" t="inlineStr">
        <is>
          <t>E</t>
        </is>
      </c>
      <c r="K17" s="11" t="inlineStr">
        <is>
          <t>Behind, far corner, high</t>
        </is>
      </c>
      <c r="L17" s="10" t="inlineStr">
        <is>
          <t>OFF</t>
        </is>
      </c>
      <c r="M17" s="11" t="inlineStr">
        <is>
          <t>Pull way back. The whole desk, the mess, you small in the middle of it.</t>
        </is>
      </c>
      <c r="N17" s="11" t="inlineStr">
        <is>
          <t>and now I maintain it. forever.</t>
        </is>
      </c>
    </row>
    <row r="18" ht="42" customHeight="1">
      <c r="A18" s="12" t="n">
        <v>13</v>
      </c>
      <c r="B18" s="13" t="inlineStr">
        <is>
          <t>Closer</t>
        </is>
      </c>
      <c r="C18" s="14" t="inlineStr">
        <is>
          <t>Land on beauty</t>
        </is>
      </c>
      <c r="D18" s="7" t="n">
        <v>4</v>
      </c>
      <c r="E18" s="12">
        <f>F17</f>
        <v/>
      </c>
      <c r="F18" s="12">
        <f>E18+D18</f>
        <v/>
      </c>
      <c r="G18" s="12">
        <f>INT(E18/60)&amp;":"&amp;TEXT(MOD(E18,60),"00")&amp;" - "&amp;INT(F18/60)&amp;":"&amp;TEXT(MOD(F18,60),"00")</f>
        <v/>
      </c>
      <c r="H18" s="12" t="inlineStr">
        <is>
          <t>Screen rec</t>
        </is>
      </c>
      <c r="I18" s="12" t="inlineStr">
        <is>
          <t>S3 Screen</t>
        </is>
      </c>
      <c r="J18" s="13" t="inlineStr">
        <is>
          <t>-</t>
        </is>
      </c>
      <c r="K18" s="14" t="inlineStr">
        <is>
          <t>-</t>
        </is>
      </c>
      <c r="L18" s="13" t="inlineStr">
        <is>
          <t>-</t>
        </is>
      </c>
      <c r="M18" s="14" t="inlineStr">
        <is>
          <t>demo_guardian.py - PATCH REFUSED lands in red.</t>
        </is>
      </c>
      <c r="N18" s="14" t="inlineStr">
        <is>
          <t>and I would do it again tomorrow</t>
        </is>
      </c>
    </row>
    <row r="19">
      <c r="A19" s="15" t="n"/>
      <c r="B19" s="15" t="n"/>
      <c r="C19" s="16" t="inlineStr">
        <is>
          <t>TOTAL RUNTIME</t>
        </is>
      </c>
      <c r="D19" s="16">
        <f>SUM(D6:D18)</f>
        <v/>
      </c>
      <c r="E19" s="15" t="n"/>
      <c r="F19" s="15" t="n"/>
      <c r="G19" s="16">
        <f>"0:"&amp;TEXT(SUM(D6:D18),"00")&amp;" total"</f>
        <v/>
      </c>
      <c r="H19" s="15" t="n"/>
      <c r="I19" s="15" t="n"/>
      <c r="J19" s="15" t="n"/>
      <c r="K19" s="15" t="n"/>
      <c r="L19" s="15" t="n"/>
      <c r="M19" s="15" t="n"/>
      <c r="N19" s="15" t="n"/>
    </row>
    <row r="21">
      <c r="A21" s="17" t="inlineStr">
        <is>
          <t>Camera clips</t>
        </is>
      </c>
      <c r="D21" s="17">
        <f>COUNTIF(H6:H18,"Camera")</f>
        <v/>
      </c>
    </row>
    <row r="22">
      <c r="A22" s="17" t="inlineStr">
        <is>
          <t>Screen recordings</t>
        </is>
      </c>
      <c r="D22" s="17">
        <f>COUNTIF(H6:H18,"Screen rec")</f>
        <v/>
      </c>
    </row>
    <row r="23">
      <c r="A23" s="17" t="inlineStr">
        <is>
          <t>Shot from behind (A/D/E)</t>
        </is>
      </c>
      <c r="D23" s="17">
        <f>COUNTIF(J6:J18,"A")+COUNTIF(J6:J18,"D")+COUNTIF(J6:J18,"E")</f>
        <v/>
      </c>
    </row>
    <row r="24">
      <c r="A24" s="17" t="inlineStr">
        <is>
          <t>Shot from your left (B/C)</t>
        </is>
      </c>
      <c r="D24" s="17">
        <f>COUNTIF(J6:J18,"B")+COUNTIF(J6:J18,"C")</f>
        <v/>
      </c>
    </row>
    <row r="25">
      <c r="A25" s="17" t="inlineStr">
        <is>
          <t>Night session clips</t>
        </is>
      </c>
      <c r="D25" s="17">
        <f>COUNTIF(I6:I18,"S1 Night")</f>
        <v/>
      </c>
    </row>
    <row r="26">
      <c r="A26" s="17" t="inlineStr">
        <is>
          <t>Day session clips</t>
        </is>
      </c>
      <c r="D26" s="17">
        <f>COUNTIF(I6:I18,"S2 Day")</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2" customWidth="1" min="1" max="1"/>
    <col width="108" customWidth="1" min="2" max="2"/>
  </cols>
  <sheetData>
    <row r="1">
      <c r="A1" s="1" t="inlineStr">
        <is>
          <t>Every clip, step by step</t>
        </is>
      </c>
    </row>
    <row r="2">
      <c r="A2" s="2" t="inlineStr">
        <is>
          <t>One block per clip. Set up, press record, do the action, stop. Three takes each. Nothing here needs you to remember anything from another sheet.</t>
        </is>
      </c>
    </row>
    <row r="4" ht="22" customHeight="1">
      <c r="A4" s="18" t="inlineStr">
        <is>
          <t>CLIP 1  ·  Beauty  ·  GOLD lamp</t>
        </is>
      </c>
    </row>
    <row r="5" ht="46" customHeight="1">
      <c r="A5" s="19" t="inlineStr">
        <is>
          <t>Set up</t>
        </is>
      </c>
      <c r="B5" s="6" t="inlineStr">
        <is>
          <t>Tripod BEHIND your chair, raised high (~1.8m), tilted down. Frame: your empty chair, the grey desk, the laptop, the wall in front. Leave the top third of the frame empty for text.</t>
        </is>
      </c>
    </row>
    <row r="6" ht="46" customHeight="1">
      <c r="A6" s="19" t="inlineStr">
        <is>
          <t>Do this</t>
        </is>
      </c>
      <c r="B6" s="6" t="inlineStr">
        <is>
          <t>Start recording with the chair EMPTY. Walk in from the left, sit down, put the coffee on the desk, roll the chair in, put both hands on the keyboard. Then hold still for 3 seconds.</t>
        </is>
      </c>
    </row>
    <row r="7" ht="46" customHeight="1">
      <c r="A7" s="19" t="inlineStr">
        <is>
          <t>Watch out</t>
        </is>
      </c>
      <c r="B7" s="6" t="inlineStr">
        <is>
          <t>The empty-chair start is what makes it read as 'beginning'. Do not skip it.</t>
        </is>
      </c>
    </row>
    <row r="9" ht="22" customHeight="1">
      <c r="A9" s="18" t="inlineStr">
        <is>
          <t>CLIP 2  ·  Hell  ·  WHITE lamp</t>
        </is>
      </c>
    </row>
    <row r="10" ht="46" customHeight="1">
      <c r="A10" s="20" t="inlineStr">
        <is>
          <t>Set up</t>
        </is>
      </c>
      <c r="B10" s="11" t="inlineStr">
        <is>
          <t>IDENTICAL to clip 1. Same mark, same height, same tilt. Nothing moves but the lamp mode.</t>
        </is>
      </c>
    </row>
    <row r="11" ht="46" customHeight="1">
      <c r="A11" s="20" t="inlineStr">
        <is>
          <t>Do this</t>
        </is>
      </c>
      <c r="B11" s="11" t="inlineStr">
        <is>
          <t>Already seated. Slumped low in the chair, one hand up on your forehead or through your hair. Screen still blank. Do nothing for 4 seconds. Stillness is the shot.</t>
        </is>
      </c>
    </row>
    <row r="12" ht="46" customHeight="1">
      <c r="A12" s="20" t="inlineStr">
        <is>
          <t>Watch out</t>
        </is>
      </c>
      <c r="B12" s="11" t="inlineStr">
        <is>
          <t>Do not act tired. Just be still and let the white light do it.</t>
        </is>
      </c>
    </row>
    <row r="14" ht="22" customHeight="1">
      <c r="A14" s="18" t="inlineStr">
        <is>
          <t>CLIP 3  ·  Beauty  ·  Lamp OFF</t>
        </is>
      </c>
    </row>
    <row r="15" ht="46" customHeight="1">
      <c r="A15" s="19" t="inlineStr">
        <is>
          <t>Set up</t>
        </is>
      </c>
      <c r="B15" s="6" t="inlineStr">
        <is>
          <t>Tripod to your LEFT, at eye height (~1.5m), close (about an arm's length). Frame: your face in profile, the laptop edge, the wall behind you. Screen must be the only light.</t>
        </is>
      </c>
    </row>
    <row r="16" ht="46" customHeight="1">
      <c r="A16" s="19" t="inlineStr">
        <is>
          <t>Do this</t>
        </is>
      </c>
      <c r="B16" s="6" t="inlineStr">
        <is>
          <t>Fill your terminal with green output first so it lights your face. Look at the screen, let a small real smile arrive. Do not perform it — just read the green and react.</t>
        </is>
      </c>
    </row>
    <row r="17" ht="46" customHeight="1">
      <c r="A17" s="19" t="inlineStr">
        <is>
          <t>Watch out</t>
        </is>
      </c>
      <c r="B17" s="6" t="inlineStr">
        <is>
          <t>Run: python3 -m pytest tests/ -q  — the green pass block is your light source.</t>
        </is>
      </c>
    </row>
    <row r="19" ht="22" customHeight="1">
      <c r="A19" s="18" t="inlineStr">
        <is>
          <t>CLIP 4  ·  Hell  ·  Lamp OFF</t>
        </is>
      </c>
    </row>
    <row r="20" ht="46" customHeight="1">
      <c r="A20" s="20" t="inlineStr">
        <is>
          <t>Set up</t>
        </is>
      </c>
      <c r="B20" s="11" t="inlineStr">
        <is>
          <t>EXACTLY where clip 3 was. Do not touch the tripod between these two. Only the screen colour changes.</t>
        </is>
      </c>
    </row>
    <row r="21" ht="46" customHeight="1">
      <c r="A21" s="20" t="inlineStr">
        <is>
          <t>Do this</t>
        </is>
      </c>
      <c r="B21" s="11" t="inlineStr">
        <is>
          <t>Fill the terminal with red failure output. Same position, same distance. Blank face, eyes still, try not to blink. Hold 4 seconds.</t>
        </is>
      </c>
    </row>
    <row r="22" ht="46" customHeight="1">
      <c r="A22" s="20" t="inlineStr">
        <is>
          <t>Watch out</t>
        </is>
      </c>
      <c r="B22" s="11" t="inlineStr">
        <is>
          <t>This pair is the best shot in the reel. It only works if the camera has not moved.</t>
        </is>
      </c>
    </row>
    <row r="24" ht="22" customHeight="1">
      <c r="A24" s="18" t="inlineStr">
        <is>
          <t>CLIP 5  ·  Beauty  ·  GOLD lamp</t>
        </is>
      </c>
    </row>
    <row r="25" ht="46" customHeight="1">
      <c r="A25" s="19" t="inlineStr">
        <is>
          <t>Set up</t>
        </is>
      </c>
      <c r="B25" s="6" t="inlineStr">
        <is>
          <t>Tripod to your LEFT, chest height (~1.2m), further back (1.5-2m) so your whole upper body and the desk are in frame, side on.</t>
        </is>
      </c>
    </row>
    <row r="26" ht="46" customHeight="1">
      <c r="A26" s="19" t="inlineStr">
        <is>
          <t>Do this</t>
        </is>
      </c>
      <c r="B26" s="6" t="inlineStr">
        <is>
          <t>Type a few keys, hit Enter with a bit of weight, then lean back and put both arms behind your head. Hold the lean for 3 seconds.</t>
        </is>
      </c>
    </row>
    <row r="27" ht="46" customHeight="1">
      <c r="A27" s="19" t="inlineStr">
        <is>
          <t>Watch out</t>
        </is>
      </c>
      <c r="B27" s="6" t="inlineStr">
        <is>
          <t>The lean-back is the whole shot. Hold it longer than feels natural.</t>
        </is>
      </c>
    </row>
    <row r="29" ht="22" customHeight="1">
      <c r="A29" s="18" t="inlineStr">
        <is>
          <t>CLIP 6  ·  Hell  ·  WHITE lamp</t>
        </is>
      </c>
    </row>
    <row r="30" ht="46" customHeight="1">
      <c r="A30" s="20" t="inlineStr">
        <is>
          <t>Set up</t>
        </is>
      </c>
      <c r="B30" s="11" t="inlineStr">
        <is>
          <t>Same mark as clip 5. Same height, same distance.</t>
        </is>
      </c>
    </row>
    <row r="31" ht="46" customHeight="1">
      <c r="A31" s="20" t="inlineStr">
        <is>
          <t>Do this</t>
        </is>
      </c>
      <c r="B31" s="11" t="inlineStr">
        <is>
          <t>Start leaning back exactly as you ended clip 5. Then snap forward toward the laptop as though something just went wrong. Fast, one movement.</t>
        </is>
      </c>
    </row>
    <row r="32" ht="46" customHeight="1">
      <c r="A32" s="20" t="inlineStr">
        <is>
          <t>Watch out</t>
        </is>
      </c>
      <c r="B32" s="11" t="inlineStr">
        <is>
          <t>Starting in clip 5's end position is what makes the cut land.</t>
        </is>
      </c>
    </row>
    <row r="34" ht="22" customHeight="1">
      <c r="A34" s="18" t="inlineStr">
        <is>
          <t>CLIP 7  ·  Beauty  ·  GOLD lamp</t>
        </is>
      </c>
    </row>
    <row r="35" ht="46" customHeight="1">
      <c r="A35" s="19" t="inlineStr">
        <is>
          <t>Set up</t>
        </is>
      </c>
      <c r="B35" s="6" t="inlineStr">
        <is>
          <t>Tripod BEHIND you, closer than Mark A, raised just above your shoulder (~1.6m), angled down at the screen. Frame: your shoulder and head bottom-left, screen filling the rest.</t>
        </is>
      </c>
    </row>
    <row r="36" ht="46" customHeight="1">
      <c r="A36" s="19" t="inlineStr">
        <is>
          <t>Do this</t>
        </is>
      </c>
      <c r="B36" s="6" t="inlineStr">
        <is>
          <t>Look at the screen, pause, then bring your hand up and point at one line. Hold the point.</t>
        </is>
      </c>
    </row>
    <row r="37" ht="46" customHeight="1">
      <c r="A37" s="19" t="inlineStr">
        <is>
          <t>Watch out</t>
        </is>
      </c>
      <c r="B37" s="6" t="inlineStr">
        <is>
          <t>The screen does not need to be readable. The gesture carries it. Angle the tripod slightly off-square to the screen to avoid banding.</t>
        </is>
      </c>
    </row>
    <row r="39" ht="22" customHeight="1">
      <c r="A39" s="18" t="inlineStr">
        <is>
          <t>CLIP 8  ·  Hell  ·  No camera</t>
        </is>
      </c>
    </row>
    <row r="40" ht="46" customHeight="1">
      <c r="A40" s="20" t="inlineStr">
        <is>
          <t>Set up</t>
        </is>
      </c>
      <c r="B40" s="11" t="inlineStr">
        <is>
          <t>Screen recording. Laptop only.</t>
        </is>
      </c>
    </row>
    <row r="41" ht="46" customHeight="1">
      <c r="A41" s="20" t="inlineStr">
        <is>
          <t>Do this</t>
        </is>
      </c>
      <c r="B41" s="11" t="inlineStr">
        <is>
          <t>Run: git blame on a file, and frame it so YOUR NAME and an old date are clearly readable. Record 8 seconds, barely moving the cursor.</t>
        </is>
      </c>
    </row>
    <row r="42" ht="46" customHeight="1">
      <c r="A42" s="20" t="inlineStr">
        <is>
          <t>Watch out</t>
        </is>
      </c>
      <c r="B42" s="11" t="inlineStr">
        <is>
          <t>One of only two screen recordings. Your name must be legible — that is the joke.</t>
        </is>
      </c>
    </row>
    <row r="44" ht="22" customHeight="1">
      <c r="A44" s="18" t="inlineStr">
        <is>
          <t>CLIP 9  ·  Beauty  ·  Lamp OFF</t>
        </is>
      </c>
    </row>
    <row r="45" ht="46" customHeight="1">
      <c r="A45" s="19" t="inlineStr">
        <is>
          <t>Set up</t>
        </is>
      </c>
      <c r="B45" s="6" t="inlineStr">
        <is>
          <t>Back to Mark A — behind you, high, tilted down. Identical to clips 1 and 2. Room fully dark, screen is the only light.</t>
        </is>
      </c>
    </row>
    <row r="46" ht="46" customHeight="1">
      <c r="A46" s="19" t="inlineStr">
        <is>
          <t>Do this</t>
        </is>
      </c>
      <c r="B46" s="6" t="inlineStr">
        <is>
          <t>Headphones on. Sit up, hands on the keyboard, type steadily. You will read as a silhouette against the screen. Type for 8 seconds.</t>
        </is>
      </c>
    </row>
    <row r="47" ht="46" customHeight="1">
      <c r="A47" s="19" t="inlineStr">
        <is>
          <t>Watch out</t>
        </is>
      </c>
      <c r="B47" s="6" t="inlineStr">
        <is>
          <t>Silhouettes hide everything — this is the easiest good-looking shot in the whole reel.</t>
        </is>
      </c>
    </row>
    <row r="49" ht="22" customHeight="1">
      <c r="A49" s="18" t="inlineStr">
        <is>
          <t>CLIP 10  ·  Hell  ·  WARM lamp</t>
        </is>
      </c>
    </row>
    <row r="50" ht="46" customHeight="1">
      <c r="A50" s="20" t="inlineStr">
        <is>
          <t>Set up</t>
        </is>
      </c>
      <c r="B50" s="11" t="inlineStr">
        <is>
          <t>Mark A again, untouched. This is the same frame as clip 9.</t>
        </is>
      </c>
    </row>
    <row r="51" ht="46" customHeight="1">
      <c r="A51" s="20" t="inlineStr">
        <is>
          <t>Do this</t>
        </is>
      </c>
      <c r="B51" s="11" t="inlineStr">
        <is>
          <t>Same headphones, same seat. Switch the lamp to WARM and put it LOW and behind, so it creeps in like early light. Slump slightly. Same posture, more tired. Hold 5 seconds.</t>
        </is>
      </c>
    </row>
    <row r="52" ht="46" customHeight="1">
      <c r="A52" s="20" t="inlineStr">
        <is>
          <t>Watch out</t>
        </is>
      </c>
      <c r="B52" s="11" t="inlineStr">
        <is>
          <t>Shoot this straight after clip 9 without moving anything. The lamp change does the time-passing, so you do not need an actual sunrise.</t>
        </is>
      </c>
    </row>
    <row r="54" ht="22" customHeight="1">
      <c r="A54" s="18" t="inlineStr">
        <is>
          <t>CLIP 11  ·  Beauty  ·  GOLD lamp</t>
        </is>
      </c>
    </row>
    <row r="55" ht="46" customHeight="1">
      <c r="A55" s="19" t="inlineStr">
        <is>
          <t>Set up</t>
        </is>
      </c>
      <c r="B55" s="6" t="inlineStr">
        <is>
          <t>Mark B again — your left, eye height, close. Same as clips 3 and 4.</t>
        </is>
      </c>
    </row>
    <row r="56" ht="46" customHeight="1">
      <c r="A56" s="19" t="inlineStr">
        <is>
          <t>Do this</t>
        </is>
      </c>
      <c r="B56" s="6" t="inlineStr">
        <is>
          <t>Run demo_guardian.py just off camera and film YOUR FACE watching it work for the first time. Genuine reaction, not a performance.</t>
        </is>
      </c>
    </row>
    <row r="57" ht="46" customHeight="1">
      <c r="A57" s="19" t="inlineStr">
        <is>
          <t>Watch out</t>
        </is>
      </c>
      <c r="B57" s="6" t="inlineStr">
        <is>
          <t>Do this one first, before you have watched the demo ten times. The first reaction is the only honest one you get.</t>
        </is>
      </c>
    </row>
    <row r="59" ht="22" customHeight="1">
      <c r="A59" s="18" t="inlineStr">
        <is>
          <t>CLIP 12  ·  Hell  ·  Lamp OFF</t>
        </is>
      </c>
    </row>
    <row r="60" ht="46" customHeight="1">
      <c r="A60" s="20" t="inlineStr">
        <is>
          <t>Set up</t>
        </is>
      </c>
      <c r="B60" s="11" t="inlineStr">
        <is>
          <t>Tripod as far back into the room as it goes, raised high (~1.8m), angled down. Frame: the whole desk, the drawers, the mess, and you small in the middle.</t>
        </is>
      </c>
    </row>
    <row r="61" ht="46" customHeight="1">
      <c r="A61" s="20" t="inlineStr">
        <is>
          <t>Do this</t>
        </is>
      </c>
      <c r="B61" s="11" t="inlineStr">
        <is>
          <t>Sit still, working, small in the frame. Do nothing dramatic. Hold 6 seconds.</t>
        </is>
      </c>
    </row>
    <row r="62" ht="46" customHeight="1">
      <c r="A62" s="20" t="inlineStr">
        <is>
          <t>Watch out</t>
        </is>
      </c>
      <c r="B62" s="11" t="inlineStr">
        <is>
          <t>DO NOT TIDY THE DESK. Cups, cables and clutter are the point of this shot.</t>
        </is>
      </c>
    </row>
    <row r="64" ht="22" customHeight="1">
      <c r="A64" s="18" t="inlineStr">
        <is>
          <t>CLIP 13  ·  Closer  ·  No camera</t>
        </is>
      </c>
    </row>
    <row r="65" ht="46" customHeight="1">
      <c r="A65" s="21" t="inlineStr">
        <is>
          <t>Set up</t>
        </is>
      </c>
      <c r="B65" s="14" t="inlineStr">
        <is>
          <t>Screen recording. Terminal at 20pt or larger, dark theme, full screen.</t>
        </is>
      </c>
    </row>
    <row r="66" ht="46" customHeight="1">
      <c r="A66" s="21" t="inlineStr">
        <is>
          <t>Do this</t>
        </is>
      </c>
      <c r="B66" s="14" t="inlineStr">
        <is>
          <t>Run: python3 demo_guardian.py — record the whole run, then hold on the red PATCH REFUSED banner for 4 full seconds before you stop.</t>
        </is>
      </c>
    </row>
    <row r="67" ht="46" customHeight="1">
      <c r="A67" s="21" t="inlineStr">
        <is>
          <t>Watch out</t>
        </is>
      </c>
      <c r="B67" s="14" t="inlineStr">
        <is>
          <t>This is your closer AND your cover frame. Hold it. Do not cut early.</t>
        </is>
      </c>
    </row>
  </sheetData>
  <mergeCells count="13">
    <mergeCell ref="A4:B4"/>
    <mergeCell ref="A24:B24"/>
    <mergeCell ref="A54:B54"/>
    <mergeCell ref="A29:B29"/>
    <mergeCell ref="A59:B59"/>
    <mergeCell ref="A64:B64"/>
    <mergeCell ref="A19:B19"/>
    <mergeCell ref="A49:B49"/>
    <mergeCell ref="A14:B14"/>
    <mergeCell ref="A44:B44"/>
    <mergeCell ref="A9:B9"/>
    <mergeCell ref="A39:B39"/>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2" customWidth="1" min="1" max="1"/>
    <col width="32" customWidth="1" min="2" max="2"/>
    <col width="40" customWidth="1" min="3" max="3"/>
    <col width="50" customWidth="1" min="4" max="4"/>
  </cols>
  <sheetData>
    <row r="1">
      <c r="A1" s="1" t="inlineStr">
        <is>
          <t>Your room — where the camera can actually go</t>
        </is>
      </c>
    </row>
    <row r="2">
      <c r="A2" s="2" t="inlineStr">
        <is>
          <t>Desk against a wall, second wall on your right. That leaves only BEHIND you and your LEFT. Every shot in this reel is built from those two sides.</t>
        </is>
      </c>
    </row>
    <row r="4">
      <c r="A4" s="22" t="inlineStr">
        <is>
          <t>The layout</t>
        </is>
      </c>
    </row>
    <row r="5">
      <c r="A5" s="23" t="inlineStr">
        <is>
          <t>                                                    </t>
        </is>
      </c>
    </row>
    <row r="6">
      <c r="A6" s="23" t="inlineStr">
        <is>
          <t xml:space="preserve">        # # # #  WALL IN FRONT  # # # #        #</t>
        </is>
      </c>
    </row>
    <row r="7">
      <c r="A7" s="23" t="inlineStr">
        <is>
          <t xml:space="preserve">                                               #</t>
        </is>
      </c>
    </row>
    <row r="8">
      <c r="A8" s="23" t="inlineStr">
        <is>
          <t xml:space="preserve">              [ laptop ]                       #  W</t>
        </is>
      </c>
    </row>
    <row r="9">
      <c r="A9" s="23" t="inlineStr">
        <is>
          <t xml:space="preserve">        ______________________                 #  A</t>
        </is>
      </c>
    </row>
    <row r="10">
      <c r="A10" s="23" t="inlineStr">
        <is>
          <t xml:space="preserve">       |   grey desk          |                #  L</t>
        </is>
      </c>
    </row>
    <row r="11">
      <c r="A11" s="23" t="inlineStr">
        <is>
          <t xml:space="preserve">       |______________________|                #  L</t>
        </is>
      </c>
    </row>
    <row r="12">
      <c r="A12" s="23" t="inlineStr">
        <is>
          <t xml:space="preserve">          [blue drawers]                       #</t>
        </is>
      </c>
    </row>
    <row r="13">
      <c r="A13" s="23" t="inlineStr">
        <is>
          <t xml:space="preserve">                                               #  R</t>
        </is>
      </c>
    </row>
    <row r="14">
      <c r="A14" s="23" t="inlineStr">
        <is>
          <t xml:space="preserve">                (YOU)                          #  I</t>
        </is>
      </c>
    </row>
    <row r="15">
      <c r="A15" s="23" t="inlineStr">
        <is>
          <t xml:space="preserve">                                               #  G</t>
        </is>
      </c>
    </row>
    <row r="16">
      <c r="A16" s="23" t="inlineStr">
        <is>
          <t xml:space="preserve">     &lt;-- LEFT                                  #  H</t>
        </is>
      </c>
    </row>
    <row r="17">
      <c r="A17" s="23" t="inlineStr">
        <is>
          <t xml:space="preserve">      Marks B, C                               #  T</t>
        </is>
      </c>
    </row>
    <row r="18">
      <c r="A18" s="23" t="inlineStr">
        <is>
          <t xml:space="preserve">                                               #</t>
        </is>
      </c>
    </row>
    <row r="19">
      <c r="A19" s="23" t="inlineStr">
        <is>
          <t xml:space="preserve">                 ^  BEHIND -- Marks A, D, E</t>
        </is>
      </c>
    </row>
    <row r="20">
      <c r="A20" s="23" t="inlineStr">
        <is>
          <t>                                                    </t>
        </is>
      </c>
    </row>
    <row r="23">
      <c r="A23" s="3" t="inlineStr">
        <is>
          <t>Side</t>
        </is>
      </c>
      <c r="B23" s="3" t="inlineStr">
        <is>
          <t>Open?</t>
        </is>
      </c>
      <c r="C23" s="3" t="inlineStr">
        <is>
          <t>Marks</t>
        </is>
      </c>
      <c r="D23" s="3" t="inlineStr">
        <is>
          <t>What it gives you</t>
        </is>
      </c>
    </row>
    <row r="24" ht="44" customHeight="1">
      <c r="A24" s="24" t="inlineStr">
        <is>
          <t>Behind you</t>
        </is>
      </c>
      <c r="B24" s="25" t="inlineStr">
        <is>
          <t>YES</t>
        </is>
      </c>
      <c r="C24" s="25" t="inlineStr">
        <is>
          <t>A, D, E</t>
        </is>
      </c>
      <c r="D24" s="25" t="inlineStr">
        <is>
          <t>Your back and shoulders, the desk, the laptop screen glowing. The classic developer frame — and the strongest look you have.</t>
        </is>
      </c>
    </row>
    <row r="25" ht="44" customHeight="1">
      <c r="A25" s="24" t="inlineStr">
        <is>
          <t>Your left</t>
        </is>
      </c>
      <c r="B25" s="25" t="inlineStr">
        <is>
          <t>YES</t>
        </is>
      </c>
      <c r="C25" s="25" t="inlineStr">
        <is>
          <t>B, C</t>
        </is>
      </c>
      <c r="D25" s="25" t="inlineStr">
        <is>
          <t>Profile of your face lit by the screen, and your body movement in side view.</t>
        </is>
      </c>
    </row>
    <row r="26" ht="44" customHeight="1">
      <c r="A26" s="24" t="inlineStr">
        <is>
          <t>In front</t>
        </is>
      </c>
      <c r="B26" s="25" t="inlineStr">
        <is>
          <t>NO - wall</t>
        </is>
      </c>
      <c r="C26" s="25" t="inlineStr">
        <is>
          <t>-</t>
        </is>
      </c>
      <c r="D26" s="25" t="inlineStr">
        <is>
          <t>No room for a camera. Every straight-on shot is out.</t>
        </is>
      </c>
    </row>
    <row r="27" ht="44" customHeight="1">
      <c r="A27" s="24" t="inlineStr">
        <is>
          <t>Your right</t>
        </is>
      </c>
      <c r="B27" s="25" t="inlineStr">
        <is>
          <t>NO - wall</t>
        </is>
      </c>
      <c r="C27" s="25" t="inlineStr">
        <is>
          <t>-</t>
        </is>
      </c>
      <c r="D27" s="25" t="inlineStr">
        <is>
          <t>Blocked. Do not plan anything from this side.</t>
        </is>
      </c>
    </row>
    <row r="29">
      <c r="A29" s="22" t="inlineStr">
        <is>
          <t>Your lamp is the whole beauty/hell switch</t>
        </is>
      </c>
    </row>
    <row r="30">
      <c r="A30" s="26" t="inlineStr">
        <is>
          <t>A 3-mode lamp is better for this than daylight, because it is repeatable. Same lamp, same position, different mode — which is literally the idea of the reel. You are not dependent on weather or a window.</t>
        </is>
      </c>
    </row>
    <row r="31"/>
    <row r="33">
      <c r="A33" s="3" t="inlineStr">
        <is>
          <t>Lamp mode</t>
        </is>
      </c>
      <c r="B33" s="3" t="inlineStr">
        <is>
          <t>Use for</t>
        </is>
      </c>
      <c r="C33" s="3" t="inlineStr">
        <is>
          <t>Where to put it</t>
        </is>
      </c>
      <c r="D33" s="3" t="inlineStr">
        <is>
          <t>Why</t>
        </is>
      </c>
    </row>
    <row r="34" ht="44" customHeight="1">
      <c r="A34" s="24" t="inlineStr">
        <is>
          <t>GOLD</t>
        </is>
      </c>
      <c r="B34" s="25" t="inlineStr">
        <is>
          <t>All Beauty clips</t>
        </is>
      </c>
      <c r="C34" s="25" t="inlineStr">
        <is>
          <t>Your LEFT, slightly behind, aimed at your face/desk</t>
        </is>
      </c>
      <c r="D34" s="25" t="inlineStr">
        <is>
          <t>Warm light reads as comfort and morning. Counteracts the cold blue drawers.</t>
        </is>
      </c>
    </row>
    <row r="35" ht="44" customHeight="1">
      <c r="A35" s="24" t="inlineStr">
        <is>
          <t>WARM</t>
        </is>
      </c>
      <c r="B35" s="25" t="inlineStr">
        <is>
          <t>Clip 10 only (the 'still here' shot)</t>
        </is>
      </c>
      <c r="C35" s="25" t="inlineStr">
        <is>
          <t>Same place, dimmer if it dims</t>
        </is>
      </c>
      <c r="D35" s="25" t="inlineStr">
        <is>
          <t>Stands in for dawn if you have no window.</t>
        </is>
      </c>
    </row>
    <row r="36" ht="44" customHeight="1">
      <c r="A36" s="24" t="inlineStr">
        <is>
          <t>WHITE</t>
        </is>
      </c>
      <c r="B36" s="25" t="inlineStr">
        <is>
          <t>All Hell clips</t>
        </is>
      </c>
      <c r="C36" s="25" t="inlineStr">
        <is>
          <t>Same place, or off entirely</t>
        </is>
      </c>
      <c r="D36" s="25" t="inlineStr">
        <is>
          <t>Cold and clinical. Reads as fluorescent, late, and unforgiving.</t>
        </is>
      </c>
    </row>
    <row r="37" ht="44" customHeight="1">
      <c r="A37" s="24" t="inlineStr">
        <is>
          <t>OFF</t>
        </is>
      </c>
      <c r="B37" s="25" t="inlineStr">
        <is>
          <t>Clips 9 and 12</t>
        </is>
      </c>
      <c r="C37" s="25" t="inlineStr">
        <is>
          <t>-</t>
        </is>
      </c>
      <c r="D37" s="25" t="inlineStr">
        <is>
          <t>Screen light only. Gives you the silhouette.</t>
        </is>
      </c>
    </row>
    <row r="39">
      <c r="A39" s="22" t="inlineStr">
        <is>
          <t>Working with the colours you already have</t>
        </is>
      </c>
    </row>
    <row r="40">
      <c r="A40" s="26" t="inlineStr">
        <is>
          <t>- Grey desk - neutral, takes on whatever colour your lamp and screen give it. Ideal.</t>
        </is>
      </c>
    </row>
    <row r="41">
      <c r="A41" s="26" t="inlineStr">
        <is>
          <t>- Blue drawers - read COLD. They help every Hell shot for free. Keep them in frame on those.</t>
        </is>
      </c>
    </row>
    <row r="42">
      <c r="A42" s="26" t="inlineStr">
        <is>
          <t>- For Beauty shots, the gold lamp warms the frame enough to fight the blue. Do not move the drawers.</t>
        </is>
      </c>
    </row>
    <row r="43">
      <c r="A43" s="26" t="inlineStr">
        <is>
          <t>- The front wall is your backdrop in Marks B and C. Keep it clear - no clutter, no posters.</t>
        </is>
      </c>
    </row>
  </sheetData>
  <mergeCells count="5">
    <mergeCell ref="A40:D40"/>
    <mergeCell ref="A30:D31"/>
    <mergeCell ref="A43:D43"/>
    <mergeCell ref="A41:D41"/>
    <mergeCell ref="A42:D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7" customWidth="1" min="1" max="1"/>
    <col width="24" customWidth="1" min="2" max="2"/>
    <col width="22" customWidth="1" min="3" max="3"/>
    <col width="24" customWidth="1" min="4" max="4"/>
    <col width="14" customWidth="1" min="5" max="5"/>
    <col width="52" customWidth="1" min="6" max="6"/>
  </cols>
  <sheetData>
    <row r="1">
      <c r="A1" s="1" t="inlineStr">
        <is>
          <t>Five marks — set once on Monday, never move them</t>
        </is>
      </c>
    </row>
    <row r="2">
      <c r="A2" s="2" t="inlineStr">
        <is>
          <t>All five are BEHIND you or to your LEFT, because the walls block the other two sides. Tape the floor and write the letter on the tape.</t>
        </is>
      </c>
    </row>
    <row r="4">
      <c r="A4" s="3" t="inlineStr">
        <is>
          <t>Mark</t>
        </is>
      </c>
      <c r="B4" s="3" t="inlineStr">
        <is>
          <t>Where</t>
        </is>
      </c>
      <c r="C4" s="3" t="inlineStr">
        <is>
          <t>Height</t>
        </is>
      </c>
      <c r="D4" s="3" t="inlineStr">
        <is>
          <t>Distance</t>
        </is>
      </c>
      <c r="E4" s="3" t="inlineStr">
        <is>
          <t>Clips</t>
        </is>
      </c>
      <c r="F4" s="3" t="inlineStr">
        <is>
          <t>Must match exactly</t>
        </is>
      </c>
    </row>
    <row r="5" ht="48" customHeight="1">
      <c r="A5" s="24" t="inlineStr">
        <is>
          <t>A</t>
        </is>
      </c>
      <c r="B5" s="25" t="inlineStr">
        <is>
          <t>Behind your chair</t>
        </is>
      </c>
      <c r="C5" s="25" t="inlineStr">
        <is>
          <t>~1.8m, tilted down</t>
        </is>
      </c>
      <c r="D5" s="25" t="inlineStr">
        <is>
          <t>2.5-3m back</t>
        </is>
      </c>
      <c r="E5" s="25" t="inlineStr">
        <is>
          <t>1, 2, 9, 10</t>
        </is>
      </c>
      <c r="F5" s="25" t="inlineStr">
        <is>
          <t>Four clips share this mark, including 9 and 10 which are the same frame minutes apart. This mark carries the reel.</t>
        </is>
      </c>
    </row>
    <row r="6" ht="48" customHeight="1">
      <c r="A6" s="24" t="inlineStr">
        <is>
          <t>B</t>
        </is>
      </c>
      <c r="B6" s="25" t="inlineStr">
        <is>
          <t>Your left</t>
        </is>
      </c>
      <c r="C6" s="25" t="inlineStr">
        <is>
          <t>~1.5m (eye height)</t>
        </is>
      </c>
      <c r="D6" s="25" t="inlineStr">
        <is>
          <t>0.8-1m</t>
        </is>
      </c>
      <c r="E6" s="25" t="inlineStr">
        <is>
          <t>3, 4, 11</t>
        </is>
      </c>
      <c r="F6" s="25" t="inlineStr">
        <is>
          <t>Clips 3 and 4 differ ONLY in screen colour. Moving the tripod between them kills the best cut in the edit.</t>
        </is>
      </c>
    </row>
    <row r="7" ht="48" customHeight="1">
      <c r="A7" s="24" t="inlineStr">
        <is>
          <t>C</t>
        </is>
      </c>
      <c r="B7" s="25" t="inlineStr">
        <is>
          <t>Your left, further back</t>
        </is>
      </c>
      <c r="C7" s="25" t="inlineStr">
        <is>
          <t>~1.2m (chest)</t>
        </is>
      </c>
      <c r="D7" s="25" t="inlineStr">
        <is>
          <t>1.5-2m</t>
        </is>
      </c>
      <c r="E7" s="25" t="inlineStr">
        <is>
          <t>5, 6</t>
        </is>
      </c>
      <c r="F7" s="25" t="inlineStr">
        <is>
          <t>Clip 6 starts in clip 5's ending pose. Same chair position both times.</t>
        </is>
      </c>
    </row>
    <row r="8" ht="48" customHeight="1">
      <c r="A8" s="24" t="inlineStr">
        <is>
          <t>D</t>
        </is>
      </c>
      <c r="B8" s="25" t="inlineStr">
        <is>
          <t>Behind, over your shoulder</t>
        </is>
      </c>
      <c r="C8" s="25" t="inlineStr">
        <is>
          <t>~1.6m, angled down</t>
        </is>
      </c>
      <c r="D8" s="25" t="inlineStr">
        <is>
          <t>0.6m behind</t>
        </is>
      </c>
      <c r="E8" s="25" t="inlineStr">
        <is>
          <t>7</t>
        </is>
      </c>
      <c r="F8" s="25" t="inlineStr">
        <is>
          <t>Turn slightly off-square to the screen so it does not band.</t>
        </is>
      </c>
    </row>
    <row r="9" ht="48" customHeight="1">
      <c r="A9" s="24" t="inlineStr">
        <is>
          <t>E</t>
        </is>
      </c>
      <c r="B9" s="25" t="inlineStr">
        <is>
          <t>Behind, far room corner</t>
        </is>
      </c>
      <c r="C9" s="25" t="inlineStr">
        <is>
          <t>~1.8m, angled down</t>
        </is>
      </c>
      <c r="D9" s="25" t="inlineStr">
        <is>
          <t>as far back as it goes</t>
        </is>
      </c>
      <c r="E9" s="25" t="inlineStr">
        <is>
          <t>12</t>
        </is>
      </c>
      <c r="F9" s="25" t="inlineStr">
        <is>
          <t>Get the drawers and the mess in frame.</t>
        </is>
      </c>
    </row>
    <row r="11">
      <c r="A11" s="22" t="inlineStr">
        <is>
          <t>Monday setup — 30 minutes, no shooting</t>
        </is>
      </c>
    </row>
    <row r="12">
      <c r="A12" s="26" t="inlineStr">
        <is>
          <t>1. Unbox. Extend the legs fully once and check the head holds your phone's weight without drooping.</t>
        </is>
      </c>
    </row>
    <row r="13">
      <c r="A13" s="26" t="inlineStr">
        <is>
          <t>2. Fit the phone mount and check it grips VERTICALLY. Many mounts only hold landscape properly.</t>
        </is>
      </c>
    </row>
    <row r="14">
      <c r="A14" s="26" t="inlineStr">
        <is>
          <t>3. Set marks A to E in turn. Tape the floor under each leg. Write the letter on the tape.</t>
        </is>
      </c>
    </row>
    <row r="15">
      <c r="A15" s="26" t="inlineStr">
        <is>
          <t>4. Photograph each framing FROM the phone. That photo is how you rebuild the mark later.</t>
        </is>
      </c>
    </row>
    <row r="16">
      <c r="A16" s="26" t="inlineStr">
        <is>
          <t>5. Write the exact leg-height setting for each mark into the Height column above.</t>
        </is>
      </c>
    </row>
    <row r="17">
      <c r="A17" s="26" t="inlineStr">
        <is>
          <t>6. Test at Mark B: fill the screen green, then red, and check your face actually lights up.</t>
        </is>
      </c>
    </row>
    <row r="18">
      <c r="A18" s="26" t="inlineStr">
        <is>
          <t>7. Test the lamp in all three modes at Mark A so you know what gold, warm and white look like on camera.</t>
        </is>
      </c>
    </row>
  </sheetData>
  <mergeCells count="7">
    <mergeCell ref="A16:F16"/>
    <mergeCell ref="A13:F13"/>
    <mergeCell ref="A14:F14"/>
    <mergeCell ref="A17:F17"/>
    <mergeCell ref="A12:F12"/>
    <mergeCell ref="A18:F18"/>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7" customWidth="1" min="1" max="1"/>
    <col width="11" customWidth="1" min="2" max="2"/>
    <col width="34" customWidth="1" min="3" max="3"/>
    <col width="12" customWidth="1" min="4" max="4"/>
    <col width="24" customWidth="1" min="5" max="5"/>
    <col width="54" customWidth="1" min="6" max="6"/>
  </cols>
  <sheetData>
    <row r="1">
      <c r="A1" s="1" t="inlineStr">
        <is>
          <t>Week of Mon 17 Aug — tripod arrives Monday</t>
        </is>
      </c>
    </row>
    <row r="2">
      <c r="A2" s="2" t="inlineStr">
        <is>
          <t>Because the lamp does the lighting instead of the sun, you are no longer tied to dawn. Everything can be shot after dark except the four GOLD clips.</t>
        </is>
      </c>
    </row>
    <row r="4">
      <c r="A4" s="3" t="inlineStr">
        <is>
          <t>Day</t>
        </is>
      </c>
      <c r="B4" s="3" t="inlineStr">
        <is>
          <t>Date</t>
        </is>
      </c>
      <c r="C4" s="3" t="inlineStr">
        <is>
          <t>What</t>
        </is>
      </c>
      <c r="D4" s="3" t="inlineStr">
        <is>
          <t>Time</t>
        </is>
      </c>
      <c r="E4" s="3" t="inlineStr">
        <is>
          <t>Clips</t>
        </is>
      </c>
      <c r="F4" s="3" t="inlineStr">
        <is>
          <t>Notes</t>
        </is>
      </c>
    </row>
    <row r="5" ht="38" customHeight="1">
      <c r="A5" s="24" t="inlineStr">
        <is>
          <t>Mon</t>
        </is>
      </c>
      <c r="B5" s="25" t="inlineStr">
        <is>
          <t>17 Aug</t>
        </is>
      </c>
      <c r="C5" s="25" t="inlineStr">
        <is>
          <t>Tripod arrives — SETUP ONLY</t>
        </is>
      </c>
      <c r="D5" s="25" t="inlineStr">
        <is>
          <t>30 min</t>
        </is>
      </c>
      <c r="E5" s="25" t="inlineStr">
        <is>
          <t>none</t>
        </is>
      </c>
      <c r="F5" s="25" t="inlineStr">
        <is>
          <t>Set the 5 marks, tape the floor, photograph every framing. Shoot nothing today.</t>
        </is>
      </c>
    </row>
    <row r="6" ht="38" customHeight="1">
      <c r="A6" s="24" t="inlineStr">
        <is>
          <t>Tue</t>
        </is>
      </c>
      <c r="B6" s="25" t="inlineStr">
        <is>
          <t>18 Aug</t>
        </is>
      </c>
      <c r="C6" s="25" t="inlineStr">
        <is>
          <t>S1 — Night session</t>
        </is>
      </c>
      <c r="D6" s="25" t="inlineStr">
        <is>
          <t>60 min</t>
        </is>
      </c>
      <c r="E6" s="25" t="inlineStr">
        <is>
          <t>2, 3, 4, 6, 9, 10, 12</t>
        </is>
      </c>
      <c r="F6" s="25" t="inlineStr">
        <is>
          <t>Seven clips. Room dark. Shoot 9 and 10 back to back without moving anything.</t>
        </is>
      </c>
    </row>
    <row r="7" ht="38" customHeight="1">
      <c r="A7" s="24" t="inlineStr">
        <is>
          <t>Wed</t>
        </is>
      </c>
      <c r="B7" s="25" t="inlineStr">
        <is>
          <t>19 Aug</t>
        </is>
      </c>
      <c r="C7" s="25" t="inlineStr">
        <is>
          <t>S2 — Day session</t>
        </is>
      </c>
      <c r="D7" s="25" t="inlineStr">
        <is>
          <t>40 min</t>
        </is>
      </c>
      <c r="E7" s="25" t="inlineStr">
        <is>
          <t>1, 5, 7, 11</t>
        </is>
      </c>
      <c r="F7" s="25" t="inlineStr">
        <is>
          <t>The four GOLD clips. Lamp on gold, room otherwise normal.</t>
        </is>
      </c>
    </row>
    <row r="8" ht="38" customHeight="1">
      <c r="A8" s="24" t="inlineStr">
        <is>
          <t>Wed</t>
        </is>
      </c>
      <c r="B8" s="25" t="inlineStr">
        <is>
          <t>19 Aug</t>
        </is>
      </c>
      <c r="C8" s="25" t="inlineStr">
        <is>
          <t>S3 — Screen recordings</t>
        </is>
      </c>
      <c r="D8" s="25" t="inlineStr">
        <is>
          <t>20 min</t>
        </is>
      </c>
      <c r="E8" s="25" t="inlineStr">
        <is>
          <t>8, 13</t>
        </is>
      </c>
      <c r="F8" s="25" t="inlineStr">
        <is>
          <t>Sitting down, no camera, no setup.</t>
        </is>
      </c>
    </row>
    <row r="9" ht="38" customHeight="1">
      <c r="A9" s="24" t="inlineStr">
        <is>
          <t>Thu</t>
        </is>
      </c>
      <c r="B9" s="25" t="inlineStr">
        <is>
          <t>20 Aug</t>
        </is>
      </c>
      <c r="C9" s="25" t="inlineStr">
        <is>
          <t>Edit</t>
        </is>
      </c>
      <c r="D9" s="25" t="inlineStr">
        <is>
          <t>2-3 hrs</t>
        </is>
      </c>
      <c r="E9" s="25" t="inlineStr">
        <is>
          <t>all</t>
        </is>
      </c>
      <c r="F9" s="25" t="inlineStr">
        <is>
          <t>First edit always takes longer. Follow the Editing Walkthrough sheet.</t>
        </is>
      </c>
    </row>
    <row r="10" ht="38" customHeight="1">
      <c r="A10" s="24" t="inlineStr">
        <is>
          <t>Fri</t>
        </is>
      </c>
      <c r="B10" s="25" t="inlineStr">
        <is>
          <t>21 Aug</t>
        </is>
      </c>
      <c r="C10" s="25" t="inlineStr">
        <is>
          <t>POST — 6:30-8:00pm IST</t>
        </is>
      </c>
      <c r="D10" s="25" t="inlineStr">
        <is>
          <t>10 min</t>
        </is>
      </c>
      <c r="E10" s="25" t="inlineStr">
        <is>
          <t>-</t>
        </is>
      </c>
      <c r="F10" s="25" t="inlineStr">
        <is>
          <t>Your peak window. Push it in your story within two hours.</t>
        </is>
      </c>
    </row>
    <row r="12">
      <c r="A12" s="22" t="inlineStr">
        <is>
          <t>If the tripod is late</t>
        </is>
      </c>
    </row>
    <row r="13">
      <c r="A13" s="26" t="inlineStr">
        <is>
          <t>Shoot clips 8 and 13 anyway — they need no camera at all. Then slide each camera session one day later and post Saturday. Do not shoot the paired clips handheld: 1/2, 3/4, 5/6 and 9/10 only work if the frame is identical, and hands cannot do that.</t>
        </is>
      </c>
    </row>
    <row r="14"/>
    <row r="15"/>
  </sheetData>
  <mergeCells count="1">
    <mergeCell ref="A13: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4" customWidth="1" min="1" max="1"/>
    <col width="11" customWidth="1" min="2" max="2"/>
    <col width="18" customWidth="1" min="3" max="3"/>
    <col width="58" customWidth="1" min="4" max="4"/>
  </cols>
  <sheetData>
    <row r="1">
      <c r="A1" s="1" t="inlineStr">
        <is>
          <t>Gear</t>
        </is>
      </c>
    </row>
    <row r="2">
      <c r="A2" s="2" t="inlineStr">
        <is>
          <t>Short list, because the tripod and the lamp cover most of it.</t>
        </is>
      </c>
    </row>
    <row r="4">
      <c r="A4" s="3" t="inlineStr">
        <is>
          <t>Item</t>
        </is>
      </c>
      <c r="B4" s="3" t="inlineStr">
        <is>
          <t>Have it?</t>
        </is>
      </c>
      <c r="C4" s="3" t="inlineStr">
        <is>
          <t>Used for</t>
        </is>
      </c>
      <c r="D4" s="3" t="inlineStr">
        <is>
          <t>Note</t>
        </is>
      </c>
    </row>
    <row r="5" ht="30" customHeight="1">
      <c r="A5" s="24" t="inlineStr">
        <is>
          <t>Tripod + phone mount</t>
        </is>
      </c>
      <c r="B5" s="25" t="inlineStr">
        <is>
          <t>Mon 17th</t>
        </is>
      </c>
      <c r="C5" s="25" t="inlineStr">
        <is>
          <t>11 of 13 clips</t>
        </is>
      </c>
      <c r="D5" s="25" t="inlineStr">
        <is>
          <t>Check on Monday that it grips the phone VERTICALLY.</t>
        </is>
      </c>
    </row>
    <row r="6" ht="30" customHeight="1">
      <c r="A6" s="24" t="inlineStr">
        <is>
          <t>Your phone</t>
        </is>
      </c>
      <c r="B6" s="25" t="inlineStr">
        <is>
          <t>yes</t>
        </is>
      </c>
      <c r="C6" s="25" t="inlineStr">
        <is>
          <t>Camera</t>
        </is>
      </c>
      <c r="D6" s="25" t="inlineStr">
        <is>
          <t>Shoot 9:16 natively. Never crop from landscape.</t>
        </is>
      </c>
    </row>
    <row r="7" ht="30" customHeight="1">
      <c r="A7" s="24" t="inlineStr">
        <is>
          <t>3-mode desk lamp</t>
        </is>
      </c>
      <c r="B7" s="25" t="inlineStr">
        <is>
          <t>yes</t>
        </is>
      </c>
      <c r="C7" s="25" t="inlineStr">
        <is>
          <t>All the lighting</t>
        </is>
      </c>
      <c r="D7" s="25" t="inlineStr">
        <is>
          <t>Gold = Beauty. White = Hell. Warm = clip 10. Off = silhouettes.</t>
        </is>
      </c>
    </row>
    <row r="8" ht="30" customHeight="1">
      <c r="A8" s="24" t="inlineStr">
        <is>
          <t>Masking tape</t>
        </is>
      </c>
      <c r="B8" s="25" t="inlineStr"/>
      <c r="C8" s="25" t="inlineStr">
        <is>
          <t>Floor marks</t>
        </is>
      </c>
      <c r="D8" s="25" t="inlineStr">
        <is>
          <t>Five marks, A-E, letter written on the tape.</t>
        </is>
      </c>
    </row>
    <row r="9" ht="30" customHeight="1">
      <c r="A9" s="24" t="inlineStr">
        <is>
          <t>Headphones</t>
        </is>
      </c>
      <c r="B9" s="25" t="inlineStr">
        <is>
          <t>yes</t>
        </is>
      </c>
      <c r="C9" s="25" t="inlineStr">
        <is>
          <t>Clips 9, 10</t>
        </is>
      </c>
      <c r="D9" s="25" t="inlineStr">
        <is>
          <t>Over-ear reads better in silhouette than buds.</t>
        </is>
      </c>
    </row>
    <row r="10" ht="30" customHeight="1">
      <c r="A10" s="24" t="inlineStr">
        <is>
          <t>Coffee cup</t>
        </is>
      </c>
      <c r="B10" s="25" t="inlineStr">
        <is>
          <t>yes</t>
        </is>
      </c>
      <c r="C10" s="25" t="inlineStr">
        <is>
          <t>Clips 1, 12</t>
        </is>
      </c>
      <c r="D10" s="25" t="inlineStr">
        <is>
          <t>Prop in clip 1, part of the mess in clip 12.</t>
        </is>
      </c>
    </row>
    <row r="11" ht="30" customHeight="1">
      <c r="A11" s="24" t="inlineStr">
        <is>
          <t>Your t-shirt</t>
        </is>
      </c>
      <c r="B11" s="25" t="inlineStr">
        <is>
          <t>yes</t>
        </is>
      </c>
      <c r="C11" s="25" t="inlineStr">
        <is>
          <t>Lens cloth</t>
        </is>
      </c>
      <c r="D11" s="25" t="inlineStr">
        <is>
          <t>Biggest free quality jump there is.</t>
        </is>
      </c>
    </row>
    <row r="12" ht="30" customHeight="1">
      <c r="A12" s="24" t="inlineStr">
        <is>
          <t>Wired earbuds</t>
        </is>
      </c>
      <c r="B12" s="25" t="inlineStr"/>
      <c r="C12" s="25" t="inlineStr">
        <is>
          <t>Shutter remote</t>
        </is>
      </c>
      <c r="D12" s="25" t="inlineStr">
        <is>
          <t>Volume button fires the shutter — useful since you are in almost every frame.</t>
        </is>
      </c>
    </row>
    <row r="13" ht="30" customHeight="1">
      <c r="A13" s="24" t="inlineStr">
        <is>
          <t>VN Video Editor</t>
        </is>
      </c>
      <c r="B13" s="25" t="inlineStr"/>
      <c r="C13" s="25" t="inlineStr">
        <is>
          <t>The edit</t>
        </is>
      </c>
      <c r="D13" s="25" t="inlineStr">
        <is>
          <t>Free, no watermark. See Editing Walkthrough.</t>
        </is>
      </c>
    </row>
    <row r="15">
      <c r="A15" s="22" t="inlineStr">
        <is>
          <t>Wardrobe — matters more than you would think</t>
        </is>
      </c>
    </row>
    <row r="16">
      <c r="A16" s="26" t="inlineStr">
        <is>
          <t>- Wear the SAME clothes for every clip. The pairs are supposed to be the same day.</t>
        </is>
      </c>
    </row>
    <row r="17">
      <c r="A17" s="26" t="inlineStr">
        <is>
          <t>- Avoid pure white — it blows out against a dark room and pulls the eye off your face.</t>
        </is>
      </c>
    </row>
    <row r="18">
      <c r="A18" s="26" t="inlineStr">
        <is>
          <t>- Avoid blue, since your drawers are already blue and you will blend into them.</t>
        </is>
      </c>
    </row>
    <row r="19">
      <c r="A19" s="26" t="inlineStr">
        <is>
          <t>- A mid or dark grey or black tee is the safest choice against a grey desk and a plain wall.</t>
        </is>
      </c>
    </row>
  </sheetData>
  <mergeCells count="4">
    <mergeCell ref="A19:D19"/>
    <mergeCell ref="A17:D17"/>
    <mergeCell ref="A18:D18"/>
    <mergeCell ref="A16:D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5" customWidth="1" min="1" max="1"/>
    <col width="30" customWidth="1" min="2" max="2"/>
    <col width="42" customWidth="1" min="3" max="3"/>
    <col width="50" customWidth="1" min="4" max="4"/>
  </cols>
  <sheetData>
    <row r="1">
      <c r="A1" s="1" t="inlineStr">
        <is>
          <t>Set these once at the start of every session</t>
        </is>
      </c>
    </row>
    <row r="2">
      <c r="A2" s="2" t="inlineStr">
        <is>
          <t>These matter more on a tripod, not less — a static frame shows every wobble in exposure.</t>
        </is>
      </c>
    </row>
    <row r="4">
      <c r="A4" s="3" t="inlineStr">
        <is>
          <t>#</t>
        </is>
      </c>
      <c r="B4" s="3" t="inlineStr">
        <is>
          <t>Do this</t>
        </is>
      </c>
      <c r="C4" s="3" t="inlineStr">
        <is>
          <t>How</t>
        </is>
      </c>
      <c r="D4" s="3" t="inlineStr">
        <is>
          <t>What goes wrong without it</t>
        </is>
      </c>
    </row>
    <row r="5" ht="32" customHeight="1">
      <c r="A5" s="25" t="n">
        <v>1</v>
      </c>
      <c r="B5" s="24" t="inlineStr">
        <is>
          <t>Clean the lens</t>
        </is>
      </c>
      <c r="C5" s="25" t="inlineStr">
        <is>
          <t>Wipe before every session</t>
        </is>
      </c>
      <c r="D5" s="25" t="inlineStr">
        <is>
          <t>Haze and glare you cannot fix later</t>
        </is>
      </c>
    </row>
    <row r="6" ht="32" customHeight="1">
      <c r="A6" s="25" t="n">
        <v>2</v>
      </c>
      <c r="B6" s="24" t="inlineStr">
        <is>
          <t>Lock focus and exposure</t>
        </is>
      </c>
      <c r="C6" s="25" t="inlineStr">
        <is>
          <t>Tap and hold your subject until AE/AF LOCK shows</t>
        </is>
      </c>
      <c r="D6" s="25" t="inlineStr">
        <is>
          <t>On a static shot, a focus hunt is glaringly obvious</t>
        </is>
      </c>
    </row>
    <row r="7" ht="32" customHeight="1">
      <c r="A7" s="25" t="n">
        <v>3</v>
      </c>
      <c r="B7" s="24" t="inlineStr">
        <is>
          <t>Lock white balance</t>
        </is>
      </c>
      <c r="C7" s="25" t="inlineStr">
        <is>
          <t>Pro / Manual mode if your camera app has it</t>
        </is>
      </c>
      <c r="D7" s="25" t="inlineStr">
        <is>
          <t>Clips 3 and 4 shift colour and stop reading as a pair</t>
        </is>
      </c>
    </row>
    <row r="8" ht="32" customHeight="1">
      <c r="A8" s="25" t="n">
        <v>4</v>
      </c>
      <c r="B8" s="24" t="inlineStr">
        <is>
          <t>Shoot 8-10s per clip</t>
        </is>
      </c>
      <c r="C8" s="25" t="inlineStr">
        <is>
          <t>Even though you only need 2s</t>
        </is>
      </c>
      <c r="D8" s="25" t="inlineStr">
        <is>
          <t>No slack to cut on the beat and no choice of take</t>
        </is>
      </c>
    </row>
    <row r="9" ht="32" customHeight="1">
      <c r="A9" s="25" t="n">
        <v>5</v>
      </c>
      <c r="B9" s="24" t="inlineStr">
        <is>
          <t>Three takes of everything</t>
        </is>
      </c>
      <c r="C9" s="25" t="inlineStr">
        <is>
          <t>Same setup, just roll again</t>
        </is>
      </c>
      <c r="D9" s="25" t="inlineStr">
        <is>
          <t>The third take is always the natural one</t>
        </is>
      </c>
    </row>
    <row r="10" ht="32" customHeight="1">
      <c r="A10" s="25" t="n">
        <v>6</v>
      </c>
      <c r="B10" s="24" t="inlineStr">
        <is>
          <t>Never digital zoom</t>
        </is>
      </c>
      <c r="C10" s="25" t="inlineStr">
        <is>
          <t>Move the tripod instead</t>
        </is>
      </c>
      <c r="D10" s="25" t="inlineStr">
        <is>
          <t>Zoom is cropping — soft, mushy footage</t>
        </is>
      </c>
    </row>
    <row r="11" ht="32" customHeight="1">
      <c r="A11" s="25" t="n">
        <v>7</v>
      </c>
      <c r="B11" s="24" t="inlineStr">
        <is>
          <t>Shoot vertical natively</t>
        </is>
      </c>
      <c r="C11" s="25" t="inlineStr">
        <is>
          <t>9:16 from the start</t>
        </is>
      </c>
      <c r="D11" s="25" t="inlineStr">
        <is>
          <t>Cropping landscape throws away most of your resolution</t>
        </is>
      </c>
    </row>
    <row r="12" ht="32" customHeight="1">
      <c r="A12" s="25" t="n">
        <v>8</v>
      </c>
      <c r="B12" s="24" t="inlineStr">
        <is>
          <t>Do Not Disturb on</t>
        </is>
      </c>
      <c r="C12" s="25" t="inlineStr">
        <is>
          <t>Before every take</t>
        </is>
      </c>
      <c r="D12" s="25" t="inlineStr">
        <is>
          <t>One notification banner and you reshoot</t>
        </is>
      </c>
    </row>
    <row r="13" ht="32" customHeight="1">
      <c r="A13" s="25" t="n">
        <v>9</v>
      </c>
      <c r="B13" s="24" t="inlineStr">
        <is>
          <t>Lock screen brightness</t>
        </is>
      </c>
      <c r="C13" s="25" t="inlineStr">
        <is>
          <t>Turn off auto-brightness on the laptop</t>
        </is>
      </c>
      <c r="D13" s="25" t="inlineStr">
        <is>
          <t>Your key light changes mid-shot — fatal for clips 3, 4, 9</t>
        </is>
      </c>
    </row>
    <row r="14" ht="32" customHeight="1">
      <c r="A14" s="25" t="n">
        <v>10</v>
      </c>
      <c r="B14" s="24" t="inlineStr">
        <is>
          <t>Photograph every framing</t>
        </is>
      </c>
      <c r="C14" s="25" t="inlineStr">
        <is>
          <t>On Monday, at all five marks</t>
        </is>
      </c>
      <c r="D14" s="25" t="inlineStr">
        <is>
          <t>You cannot rebuild Mark A from memory two days later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0" customWidth="1" min="1" max="1"/>
    <col width="5" customWidth="1" min="2" max="2"/>
    <col width="34" customWidth="1" min="3" max="3"/>
    <col width="82" customWidth="1" min="4" max="4"/>
  </cols>
  <sheetData>
    <row r="1">
      <c r="A1" s="1" t="inlineStr">
        <is>
          <t>Editing, from zero — Thursday 20 Aug</t>
        </is>
      </c>
    </row>
    <row r="2">
      <c r="A2" s="2" t="inlineStr">
        <is>
          <t>Written assuming you have never edited anything. Tick each row as you go. Budget 2-3 hours for this first one — the second takes about 40 minutes.</t>
        </is>
      </c>
    </row>
    <row r="4">
      <c r="A4" s="3" t="inlineStr">
        <is>
          <t>Done</t>
        </is>
      </c>
      <c r="B4" s="3" t="inlineStr">
        <is>
          <t>#</t>
        </is>
      </c>
      <c r="C4" s="3" t="inlineStr">
        <is>
          <t>Step</t>
        </is>
      </c>
      <c r="D4" s="3" t="inlineStr">
        <is>
          <t>Exactly what to do</t>
        </is>
      </c>
    </row>
    <row r="5" ht="20" customHeight="1">
      <c r="A5" s="27" t="inlineStr">
        <is>
          <t>BEFORE YOU START</t>
        </is>
      </c>
    </row>
    <row r="6" ht="42" customHeight="1">
      <c r="A6" s="28" t="inlineStr"/>
      <c r="B6" s="29" t="n">
        <v>1</v>
      </c>
      <c r="C6" s="24" t="inlineStr">
        <is>
          <t>Install VN Video Editor</t>
        </is>
      </c>
      <c r="D6" s="25" t="inlineStr">
        <is>
          <t>Play Store / App Store, search 'VN Video Editor'. Free, and it does not put a watermark on your export. NOTE: CapCut is what most tutorials use, but it is not available in India — VN is the equivalent and works everywhere.</t>
        </is>
      </c>
    </row>
    <row r="7" ht="42" customHeight="1">
      <c r="A7" s="28" t="inlineStr"/>
      <c r="B7" s="29" t="n">
        <v>2</v>
      </c>
      <c r="C7" s="24" t="inlineStr">
        <is>
          <t>Save the song to your phone</t>
        </is>
      </c>
      <c r="D7" s="25" t="inlineStr">
        <is>
          <t>Find the 'Pretty Little Baby' bass/sped-up remix you want and save the audio file to your device. You need it inside the editor to cut against, even though the final reel uses Instagram's copy.</t>
        </is>
      </c>
    </row>
    <row r="8" ht="42" customHeight="1">
      <c r="A8" s="28" t="inlineStr"/>
      <c r="B8" s="29" t="n">
        <v>3</v>
      </c>
      <c r="C8" s="24" t="inlineStr">
        <is>
          <t>Note where your reel starts in the song</t>
        </is>
      </c>
      <c r="D8" s="25" t="inlineStr">
        <is>
          <t>Play it and write down the timestamp you want to open on — for example 0:12. You will need this exact number in step 24.</t>
        </is>
      </c>
    </row>
    <row r="9" ht="20" customHeight="1">
      <c r="A9" s="27" t="inlineStr">
        <is>
          <t>SORT YOUR FOOTAGE</t>
        </is>
      </c>
    </row>
    <row r="10" ht="42" customHeight="1">
      <c r="A10" s="28" t="inlineStr"/>
      <c r="B10" s="29" t="n">
        <v>4</v>
      </c>
      <c r="C10" s="24" t="inlineStr">
        <is>
          <t>Sort your clips BEFORE opening the editor</t>
        </is>
      </c>
      <c r="D10" s="25" t="inlineStr">
        <is>
          <t>You will have ~40 files from 3 takes each. In your gallery, pick the one keeper per shot and put the 13 winners in an album called 'reel'.</t>
        </is>
      </c>
    </row>
    <row r="11" ht="42" customHeight="1">
      <c r="A11" s="28" t="inlineStr"/>
      <c r="B11" s="29" t="n">
        <v>5</v>
      </c>
      <c r="C11" s="24" t="inlineStr">
        <is>
          <t>Why this matters</t>
        </is>
      </c>
      <c r="D11" s="25" t="inlineStr">
        <is>
          <t>Fifteen minutes here saves about an hour of scrolling through a crowded timeline. This is the step beginners skip and then drown.</t>
        </is>
      </c>
    </row>
    <row r="12" ht="20" customHeight="1">
      <c r="A12" s="27" t="inlineStr">
        <is>
          <t>SET UP THE PROJECT</t>
        </is>
      </c>
    </row>
    <row r="13" ht="42" customHeight="1">
      <c r="A13" s="28" t="inlineStr"/>
      <c r="B13" s="29" t="n">
        <v>6</v>
      </c>
      <c r="C13" s="24" t="inlineStr">
        <is>
          <t>New Project</t>
        </is>
      </c>
      <c r="D13" s="25" t="inlineStr">
        <is>
          <t>Open VN, tap the + button, choose New Project.</t>
        </is>
      </c>
    </row>
    <row r="14" ht="42" customHeight="1">
      <c r="A14" s="28" t="inlineStr"/>
      <c r="B14" s="29" t="n">
        <v>7</v>
      </c>
      <c r="C14" s="24" t="inlineStr">
        <is>
          <t>Import your 13 clips</t>
        </is>
      </c>
      <c r="D14" s="25" t="inlineStr">
        <is>
          <t>Select them from the 'reel' album, in clip order 1 to 13. They land on the timeline at the bottom of the screen.</t>
        </is>
      </c>
    </row>
    <row r="15" ht="42" customHeight="1">
      <c r="A15" s="28" t="inlineStr"/>
      <c r="B15" s="29" t="n">
        <v>8</v>
      </c>
      <c r="C15" s="24" t="inlineStr">
        <is>
          <t>Add the song</t>
        </is>
      </c>
      <c r="D15" s="25" t="inlineStr">
        <is>
          <t>Tap Music (or Audio) then 'From device' and pick your saved track. It appears as a second bar under your video.</t>
        </is>
      </c>
    </row>
    <row r="16" ht="20" customHeight="1">
      <c r="A16" s="27" t="inlineStr">
        <is>
          <t>BEAT MARKERS — the one skill that matters</t>
        </is>
      </c>
    </row>
    <row r="17" ht="42" customHeight="1">
      <c r="A17" s="28" t="inlineStr"/>
      <c r="B17" s="29" t="n">
        <v>9</v>
      </c>
      <c r="C17" s="24" t="inlineStr">
        <is>
          <t>Find the Beat tool</t>
        </is>
      </c>
      <c r="D17" s="25" t="inlineStr">
        <is>
          <t>Tap the music bar once to select it. A menu appears. Look for 'Beat'.</t>
        </is>
      </c>
    </row>
    <row r="18" ht="42" customHeight="1">
      <c r="A18" s="28" t="inlineStr"/>
      <c r="B18" s="29" t="n">
        <v>10</v>
      </c>
      <c r="C18" s="24" t="inlineStr">
        <is>
          <t>Place a marker on every bass hit</t>
        </is>
      </c>
      <c r="D18" s="25" t="inlineStr">
        <is>
          <t>Either let auto-detect place them, or play the track and tap the marker button on each hit. You want a row of small dots along the audio bar.</t>
        </is>
      </c>
    </row>
    <row r="19" ht="42" customHeight="1">
      <c r="A19" s="28" t="inlineStr"/>
      <c r="B19" s="29" t="n">
        <v>11</v>
      </c>
      <c r="C19" s="24" t="inlineStr">
        <is>
          <t>Do this BEFORE touching any video</t>
        </is>
      </c>
      <c r="D19" s="25" t="inlineStr">
        <is>
          <t>Markers first, footage second. If you place clips first and sync afterwards you will fight it the entire way through.</t>
        </is>
      </c>
    </row>
    <row r="20" ht="20" customHeight="1">
      <c r="A20" s="27" t="inlineStr">
        <is>
          <t>PLACE THE CLIPS</t>
        </is>
      </c>
    </row>
    <row r="21" ht="42" customHeight="1">
      <c r="A21" s="28" t="inlineStr"/>
      <c r="B21" s="29" t="n">
        <v>12</v>
      </c>
      <c r="C21" s="24" t="inlineStr">
        <is>
          <t>Drag clip 1 to the start</t>
        </is>
      </c>
      <c r="D21" s="25" t="inlineStr">
        <is>
          <t>Then drag its right-hand edge left until the clip ENDS on the first marker. It will snap.</t>
        </is>
      </c>
    </row>
    <row r="22" ht="42" customHeight="1">
      <c r="A22" s="28" t="inlineStr"/>
      <c r="B22" s="29" t="n">
        <v>13</v>
      </c>
      <c r="C22" s="24" t="inlineStr">
        <is>
          <t>Repeat for all 13</t>
        </is>
      </c>
      <c r="D22" s="25" t="inlineStr">
        <is>
          <t>Clip 2 ends on marker 2, clip 3 on marker 3, and so on.</t>
        </is>
      </c>
    </row>
    <row r="23" ht="42" customHeight="1">
      <c r="A23" s="28" t="inlineStr"/>
      <c r="B23" s="29" t="n">
        <v>14</v>
      </c>
      <c r="C23" s="24" t="inlineStr">
        <is>
          <t>Hell on the bass, Beauty on the vocal</t>
        </is>
      </c>
      <c r="D23" s="25" t="inlineStr">
        <is>
          <t>Even-numbered clips (the Hell ones) should land on the heavy hits.</t>
        </is>
      </c>
    </row>
    <row r="24" ht="42" customHeight="1">
      <c r="A24" s="28" t="inlineStr"/>
      <c r="B24" s="29" t="n">
        <v>15</v>
      </c>
      <c r="C24" s="24" t="inlineStr">
        <is>
          <t>Never reorder the pairs</t>
        </is>
      </c>
      <c r="D24" s="25" t="inlineStr">
        <is>
          <t>1-2, 3-4, 5-6, 7-8, 9-10, 11-12 stay adjacent. The pairing IS the idea of the reel.</t>
        </is>
      </c>
    </row>
    <row r="25" ht="42" customHeight="1">
      <c r="A25" s="28" t="inlineStr"/>
      <c r="B25" s="29" t="n">
        <v>16</v>
      </c>
      <c r="C25" s="24" t="inlineStr">
        <is>
          <t>Early beats late</t>
        </is>
      </c>
      <c r="D25" s="25" t="inlineStr">
        <is>
          <t>If a cut feels a touch early, leave it. Early reads as tight; late always reads as sloppy.</t>
        </is>
      </c>
    </row>
    <row r="26" ht="20" customHeight="1">
      <c r="A26" s="27" t="inlineStr">
        <is>
          <t>TEXT</t>
        </is>
      </c>
    </row>
    <row r="27" ht="42" customHeight="1">
      <c r="A27" s="28" t="inlineStr"/>
      <c r="B27" s="29" t="n">
        <v>17</v>
      </c>
      <c r="C27" s="24" t="inlineStr">
        <is>
          <t>Add your text</t>
        </is>
      </c>
      <c r="D27" s="25" t="inlineStr">
        <is>
          <t>Tap Text, then Add Text. Copy the line from the 'On-screen text' column of the Shot List.</t>
        </is>
      </c>
    </row>
    <row r="28" ht="42" customHeight="1">
      <c r="A28" s="28" t="inlineStr"/>
      <c r="B28" s="29" t="n">
        <v>18</v>
      </c>
      <c r="C28" s="24" t="inlineStr">
        <is>
          <t>Same font, size and position every time</t>
        </is>
      </c>
      <c r="D28" s="25" t="inlineStr">
        <is>
          <t>Pick one and never change it. Consistency is what makes it look designed.</t>
        </is>
      </c>
    </row>
    <row r="29" ht="42" customHeight="1">
      <c r="A29" s="28" t="inlineStr"/>
      <c r="B29" s="29" t="n">
        <v>19</v>
      </c>
      <c r="C29" s="24" t="inlineStr">
        <is>
          <t>Put text in the UPPER third</t>
        </is>
      </c>
      <c r="D29" s="25" t="inlineStr">
        <is>
          <t>Instagram's own buttons cover the bottom of the screen.</t>
        </is>
      </c>
    </row>
    <row r="30" ht="42" customHeight="1">
      <c r="A30" s="28" t="inlineStr"/>
      <c r="B30" s="29" t="n">
        <v>20</v>
      </c>
      <c r="C30" s="24" t="inlineStr">
        <is>
          <t>White text, soft dark shadow</t>
        </is>
      </c>
      <c r="D30" s="25" t="inlineStr">
        <is>
          <t>So it stays readable over both your bright and dark clips.</t>
        </is>
      </c>
    </row>
    <row r="31" ht="42" customHeight="1">
      <c r="A31" s="28" t="inlineStr"/>
      <c r="B31" s="29" t="n">
        <v>21</v>
      </c>
      <c r="C31" s="24" t="inlineStr">
        <is>
          <t>Add nothing else</t>
        </is>
      </c>
      <c r="D31" s="25" t="inlineStr">
        <is>
          <t>No transitions, no filters, no zoom effects. Hard cuts only. Over-effecting is the single clearest sign of a first edit.</t>
        </is>
      </c>
    </row>
    <row r="32" ht="20" customHeight="1">
      <c r="A32" s="27" t="inlineStr">
        <is>
          <t>EXPORT</t>
        </is>
      </c>
    </row>
    <row r="33" ht="42" customHeight="1">
      <c r="A33" s="28" t="inlineStr"/>
      <c r="B33" s="29" t="n">
        <v>22</v>
      </c>
      <c r="C33" s="24" t="inlineStr">
        <is>
          <t>Mute the music track</t>
        </is>
      </c>
      <c r="D33" s="25" t="inlineStr">
        <is>
          <t>Tap the music bar, then volume, and set it to 0. Instagram has to supply the real audio.</t>
        </is>
      </c>
    </row>
    <row r="34" ht="42" customHeight="1">
      <c r="A34" s="28" t="inlineStr"/>
      <c r="B34" s="29" t="n">
        <v>23</v>
      </c>
      <c r="C34" s="24" t="inlineStr">
        <is>
          <t>Export at 1080p, 30fps</t>
        </is>
      </c>
      <c r="D34" s="25" t="inlineStr">
        <is>
          <t>Top-right export button. Save to your gallery.</t>
        </is>
      </c>
    </row>
    <row r="35" ht="20" customHeight="1">
      <c r="A35" s="27" t="inlineStr">
        <is>
          <t>POST</t>
        </is>
      </c>
    </row>
    <row r="36" ht="42" customHeight="1">
      <c r="A36" s="28" t="inlineStr"/>
      <c r="B36" s="29" t="n">
        <v>24</v>
      </c>
      <c r="C36" s="24" t="inlineStr">
        <is>
          <t>Upload to Instagram</t>
        </is>
      </c>
      <c r="D36" s="25" t="inlineStr">
        <is>
          <t>New Reel, pick your export. Then Audio, search 'Pretty Little Baby', and choose the version with the most reels attached to it.</t>
        </is>
      </c>
    </row>
    <row r="37" ht="42" customHeight="1">
      <c r="A37" s="28" t="inlineStr"/>
      <c r="B37" s="29" t="n">
        <v>25</v>
      </c>
      <c r="C37" s="24" t="inlineStr">
        <is>
          <t>Trim the audio to your timestamp</t>
        </is>
      </c>
      <c r="D37" s="25" t="inlineStr">
        <is>
          <t>Set it to start at the number you wrote down in step 3. This is what re-aligns your cuts to the music.</t>
        </is>
      </c>
    </row>
    <row r="38" ht="42" customHeight="1">
      <c r="A38" s="28" t="inlineStr"/>
      <c r="B38" s="29" t="n">
        <v>26</v>
      </c>
      <c r="C38" s="24" t="inlineStr">
        <is>
          <t>Play it once and check</t>
        </is>
      </c>
      <c r="D38" s="25" t="inlineStr">
        <is>
          <t>If the hits land on your Hell clips, you are done. If it is slightly out, nudge the audio trim a fraction and check again.</t>
        </is>
      </c>
    </row>
    <row r="39" ht="42" customHeight="1">
      <c r="A39" s="28" t="inlineStr"/>
      <c r="B39" s="29" t="n">
        <v>27</v>
      </c>
      <c r="C39" s="24" t="inlineStr">
        <is>
          <t>Set the cover frame</t>
        </is>
      </c>
      <c r="D39" s="25" t="inlineStr">
        <is>
          <t>Use the red PATCH REFUSED frame from clip 13. Show the actual thing, never an abstract image.</t>
        </is>
      </c>
    </row>
    <row r="40" ht="42" customHeight="1">
      <c r="A40" s="28" t="inlineStr"/>
      <c r="B40" s="29" t="n">
        <v>28</v>
      </c>
      <c r="C40" s="24" t="inlineStr">
        <is>
          <t>Post between 6:30 and 8:00pm IST</t>
        </is>
      </c>
      <c r="D40" s="25" t="inlineStr">
        <is>
          <t>Then put it in your story within two hours — early engagement decides how far it travels.</t>
        </is>
      </c>
    </row>
    <row r="42">
      <c r="A42" s="22" t="inlineStr">
        <is>
          <t>What to expect</t>
        </is>
      </c>
    </row>
    <row r="43">
      <c r="A43" s="26" t="inlineStr">
        <is>
          <t>- Your first edit will take 2-3 hours, not the 90 minutes you might expect. That is normal.</t>
        </is>
      </c>
    </row>
    <row r="44">
      <c r="A44" s="26" t="inlineStr">
        <is>
          <t>- The second one takes about 40 minutes. The fourth takes 20. It gets fast quickly.</t>
        </is>
      </c>
    </row>
    <row r="45">
      <c r="A45" s="26" t="inlineStr">
        <is>
          <t>- If something looks wrong and you cannot say why, it is almost always the timing, not the footage.</t>
        </is>
      </c>
    </row>
    <row r="46">
      <c r="A46" s="26" t="inlineStr">
        <is>
          <t>- Watch the finished reel MUTED before you post. If it does not read without sound, the text is wrong.</t>
        </is>
      </c>
    </row>
  </sheetData>
  <mergeCells count="12">
    <mergeCell ref="A5:D5"/>
    <mergeCell ref="A45:D45"/>
    <mergeCell ref="A9:D9"/>
    <mergeCell ref="A12:D12"/>
    <mergeCell ref="A35:D35"/>
    <mergeCell ref="A20:D20"/>
    <mergeCell ref="A26:D26"/>
    <mergeCell ref="A43:D43"/>
    <mergeCell ref="A16:D16"/>
    <mergeCell ref="A46:D46"/>
    <mergeCell ref="A32:D32"/>
    <mergeCell ref="A44:D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2026-08-15T05:50:54Z</dcterms:created>
  <dcterms:modified xsi:type="dcterms:W3CDTF">2026-08-15T05:50:54Z</dcterms:modified>
</cp:coreProperties>
</file>