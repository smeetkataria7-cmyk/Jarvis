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t List" sheetId="1" state="visible" r:id="rId1"/>
    <sheet name="Shot Detail" sheetId="2" state="visible" r:id="rId2"/>
    <sheet name="Room &amp; Light" sheetId="3" state="visible" r:id="rId3"/>
    <sheet name="Frame Control" sheetId="4" state="visible" r:id="rId4"/>
    <sheet name="Tripod Marks" sheetId="5" state="visible" r:id="rId5"/>
    <sheet name="Shoot Diary" sheetId="6" state="visible" r:id="rId6"/>
    <sheet name="Gear &amp; Setup" sheetId="7" state="visible" r:id="rId7"/>
    <sheet name="Camera Settings" sheetId="8" state="visible" r:id="rId8"/>
    <sheet name="Editing Walkthrough"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430"/>
      <sz val="14"/>
    </font>
    <font>
      <name val="Arial"/>
      <i val="1"/>
      <color rgb="005C6373"/>
      <sz val="9"/>
    </font>
    <font>
      <name val="Arial"/>
      <b val="1"/>
      <color rgb="00FFFFFF"/>
      <sz val="10"/>
    </font>
    <font>
      <name val="Arial"/>
      <b val="1"/>
      <color rgb="000000FF"/>
      <sz val="10"/>
    </font>
    <font>
      <name val="Arial"/>
      <color rgb="001F2430"/>
      <sz val="10"/>
    </font>
    <font>
      <name val="Arial"/>
      <b val="1"/>
      <color rgb="001F2430"/>
      <sz val="10"/>
    </font>
    <font>
      <name val="Arial"/>
      <b val="1"/>
      <color rgb="00FFFFFF"/>
      <sz val="11"/>
    </font>
    <font>
      <name val="Arial"/>
      <b val="1"/>
      <color rgb="001F2430"/>
      <sz val="11"/>
    </font>
    <font>
      <name val="Courier New"/>
      <color rgb="001F2430"/>
      <sz val="10"/>
    </font>
  </fonts>
  <fills count="10">
    <fill>
      <patternFill/>
    </fill>
    <fill>
      <patternFill patternType="gray125"/>
    </fill>
    <fill>
      <patternFill patternType="solid">
        <fgColor rgb="001F2430"/>
      </patternFill>
    </fill>
    <fill>
      <patternFill patternType="solid">
        <fgColor rgb="00FFFBEA"/>
      </patternFill>
    </fill>
    <fill>
      <patternFill patternType="solid">
        <fgColor rgb="00E8F4EC"/>
      </patternFill>
    </fill>
    <fill>
      <patternFill patternType="solid">
        <fgColor rgb="00E4EBF7"/>
      </patternFill>
    </fill>
    <fill>
      <patternFill patternType="solid">
        <fgColor rgb="00FBE9EF"/>
      </patternFill>
    </fill>
    <fill>
      <patternFill patternType="solid">
        <fgColor rgb="00FFF4D6"/>
      </patternFill>
    </fill>
    <fill>
      <patternFill patternType="solid">
        <fgColor rgb="00EDEFF3"/>
      </patternFill>
    </fill>
    <fill>
      <patternFill patternType="solid">
        <fgColor rgb="003A4763"/>
      </patternFill>
    </fill>
  </fills>
  <borders count="2">
    <border>
      <left/>
      <right/>
      <top/>
      <bottom/>
      <diagonal/>
    </border>
    <border>
      <left style="thin">
        <color rgb="00C9CFD8"/>
      </left>
      <right style="thin">
        <color rgb="00C9CFD8"/>
      </right>
      <top style="thin">
        <color rgb="00C9CFD8"/>
      </top>
      <bottom style="thin">
        <color rgb="00C9CFD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vertical="top" wrapText="1"/>
    </xf>
    <xf numFmtId="0" fontId="4"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5" fillId="6" borderId="1" applyAlignment="1" pivotButton="0" quotePrefix="0" xfId="0">
      <alignment vertical="top" wrapText="1"/>
    </xf>
    <xf numFmtId="0" fontId="5"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7" borderId="1" applyAlignment="1" pivotButton="0" quotePrefix="0" xfId="0">
      <alignment vertical="top" wrapText="1"/>
    </xf>
    <xf numFmtId="0" fontId="0" fillId="8" borderId="1" pivotButton="0" quotePrefix="0" xfId="0"/>
    <xf numFmtId="0" fontId="6" fillId="8" borderId="1" pivotButton="0" quotePrefix="0" xfId="0"/>
    <xf numFmtId="0" fontId="6" fillId="0" borderId="0" pivotButton="0" quotePrefix="0" xfId="0"/>
    <xf numFmtId="0" fontId="7" fillId="2" borderId="0" applyAlignment="1" pivotButton="0" quotePrefix="0" xfId="0">
      <alignment vertical="center" indent="1"/>
    </xf>
    <xf numFmtId="0" fontId="6" fillId="4" borderId="1" applyAlignment="1" pivotButton="0" quotePrefix="0" xfId="0">
      <alignment vertical="top"/>
    </xf>
    <xf numFmtId="0" fontId="6" fillId="6" borderId="1" applyAlignment="1" pivotButton="0" quotePrefix="0" xfId="0">
      <alignment vertical="top"/>
    </xf>
    <xf numFmtId="0" fontId="6" fillId="7" borderId="1" applyAlignment="1" pivotButton="0" quotePrefix="0" xfId="0">
      <alignment vertical="top"/>
    </xf>
    <xf numFmtId="0" fontId="8" fillId="0" borderId="0" pivotButton="0" quotePrefix="0" xfId="0"/>
    <xf numFmtId="0" fontId="9" fillId="0"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3" fillId="9" borderId="0" applyAlignment="1" pivotButton="0" quotePrefix="0" xfId="0">
      <alignment vertical="center" indent="1"/>
    </xf>
    <xf numFmtId="0" fontId="0" fillId="3" borderId="1" pivotButton="0" quotePrefix="0" xfId="0"/>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18" customWidth="1" min="3" max="3"/>
    <col width="8" customWidth="1" min="4" max="4"/>
    <col width="9" customWidth="1" min="5" max="5"/>
    <col width="8" customWidth="1" min="6" max="6"/>
    <col width="15" customWidth="1" min="7" max="7"/>
    <col width="11" customWidth="1" min="8" max="8"/>
    <col width="11" customWidth="1" min="9" max="9"/>
    <col width="7" customWidth="1" min="10" max="10"/>
    <col width="24" customWidth="1" min="11" max="11"/>
    <col width="8" customWidth="1" min="12" max="12"/>
    <col width="46" customWidth="1" min="13" max="13"/>
    <col width="28" customWidth="1" min="14" max="14"/>
  </cols>
  <sheetData>
    <row r="1">
      <c r="A1" s="1" t="inlineStr">
        <is>
          <t>Reel — The Beauty and the Hell of Being a Developer</t>
        </is>
      </c>
    </row>
    <row r="2">
      <c r="A2" s="2" t="inlineStr">
        <is>
          <t>11 camera clips, 2 screen recordings. Shot almost entirely at night, because darkness hides the rest of the room. Audio: "Pretty Little Baby" x bass — added inside Instagram, not in your export.</t>
        </is>
      </c>
    </row>
    <row r="3">
      <c r="A3" s="2" t="inlineStr">
        <is>
          <t>Blue cells are yours. Change a Duration and everything below re-syncs. See Shot Detail for the step-by-step of each clip.</t>
        </is>
      </c>
    </row>
    <row r="5" ht="28" customHeight="1">
      <c r="A5" s="3" t="inlineStr">
        <is>
          <t>Clip</t>
        </is>
      </c>
      <c r="B5" s="3" t="inlineStr">
        <is>
          <t>Mood</t>
        </is>
      </c>
      <c r="C5" s="3" t="inlineStr">
        <is>
          <t>Pair</t>
        </is>
      </c>
      <c r="D5" s="3" t="inlineStr">
        <is>
          <t>Dur (s)</t>
        </is>
      </c>
      <c r="E5" s="3" t="inlineStr">
        <is>
          <t>Start (s)</t>
        </is>
      </c>
      <c r="F5" s="3" t="inlineStr">
        <is>
          <t>End (s)</t>
        </is>
      </c>
      <c r="G5" s="3" t="inlineStr">
        <is>
          <t>Timecode</t>
        </is>
      </c>
      <c r="H5" s="3" t="inlineStr">
        <is>
          <t>Capture</t>
        </is>
      </c>
      <c r="I5" s="3" t="inlineStr">
        <is>
          <t>Session</t>
        </is>
      </c>
      <c r="J5" s="3" t="inlineStr">
        <is>
          <t>Mark</t>
        </is>
      </c>
      <c r="K5" s="3" t="inlineStr">
        <is>
          <t>Camera is</t>
        </is>
      </c>
      <c r="L5" s="3" t="inlineStr">
        <is>
          <t>Lamp</t>
        </is>
      </c>
      <c r="M5" s="3" t="inlineStr">
        <is>
          <t>What happens</t>
        </is>
      </c>
      <c r="N5" s="3" t="inlineStr">
        <is>
          <t>On-screen text</t>
        </is>
      </c>
    </row>
    <row r="6" ht="42" customHeight="1">
      <c r="A6" s="4" t="n">
        <v>1</v>
      </c>
      <c r="B6" s="5" t="inlineStr">
        <is>
          <t>Beauty</t>
        </is>
      </c>
      <c r="C6" s="6" t="inlineStr">
        <is>
          <t>1 - The sit-down</t>
        </is>
      </c>
      <c r="D6" s="7" t="n">
        <v>2</v>
      </c>
      <c r="E6" s="4" t="n">
        <v>0</v>
      </c>
      <c r="F6" s="4">
        <f>E6+D6</f>
        <v/>
      </c>
      <c r="G6" s="4">
        <f>INT(E6/60)&amp;":"&amp;TEXT(MOD(E6,60),"00")&amp;" - "&amp;INT(F6/60)&amp;":"&amp;TEXT(MOD(F6,60),"00")</f>
        <v/>
      </c>
      <c r="H6" s="8" t="inlineStr">
        <is>
          <t>Camera</t>
        </is>
      </c>
      <c r="I6" s="4" t="inlineStr">
        <is>
          <t>S1 Night</t>
        </is>
      </c>
      <c r="J6" s="5" t="inlineStr">
        <is>
          <t>A</t>
        </is>
      </c>
      <c r="K6" s="6" t="inlineStr">
        <is>
          <t>Walkway, behind, high</t>
        </is>
      </c>
      <c r="L6" s="5" t="inlineStr">
        <is>
          <t>GOLD</t>
        </is>
      </c>
      <c r="M6" s="6" t="inlineStr">
        <is>
          <t>You walk in, sit, set the water bottle down, hands to the keyboard.</t>
        </is>
      </c>
      <c r="N6" s="6" t="inlineStr">
        <is>
          <t>day one of anything</t>
        </is>
      </c>
    </row>
    <row r="7" ht="42" customHeight="1">
      <c r="A7" s="9" t="n">
        <v>2</v>
      </c>
      <c r="B7" s="10" t="inlineStr">
        <is>
          <t>Hell</t>
        </is>
      </c>
      <c r="C7" s="11" t="inlineStr">
        <is>
          <t>1 - The sit-down</t>
        </is>
      </c>
      <c r="D7" s="7" t="n">
        <v>2</v>
      </c>
      <c r="E7" s="9">
        <f>F6</f>
        <v/>
      </c>
      <c r="F7" s="9">
        <f>E7+D7</f>
        <v/>
      </c>
      <c r="G7" s="9">
        <f>INT(E7/60)&amp;":"&amp;TEXT(MOD(E7,60),"00")&amp;" - "&amp;INT(F7/60)&amp;":"&amp;TEXT(MOD(F7,60),"00")</f>
        <v/>
      </c>
      <c r="H7" s="8" t="inlineStr">
        <is>
          <t>Camera</t>
        </is>
      </c>
      <c r="I7" s="9" t="inlineStr">
        <is>
          <t>S1 Night</t>
        </is>
      </c>
      <c r="J7" s="10" t="inlineStr">
        <is>
          <t>A</t>
        </is>
      </c>
      <c r="K7" s="11" t="inlineStr">
        <is>
          <t>Walkway, behind, high</t>
        </is>
      </c>
      <c r="L7" s="10" t="inlineStr">
        <is>
          <t>WHITE</t>
        </is>
      </c>
      <c r="M7" s="11" t="inlineStr">
        <is>
          <t>Same frame. Slumped, head in one hand. Screen still blank.</t>
        </is>
      </c>
      <c r="N7" s="11" t="inlineStr">
        <is>
          <t>six hours later</t>
        </is>
      </c>
    </row>
    <row r="8" ht="42" customHeight="1">
      <c r="A8" s="4" t="n">
        <v>3</v>
      </c>
      <c r="B8" s="5" t="inlineStr">
        <is>
          <t>Beauty</t>
        </is>
      </c>
      <c r="C8" s="6" t="inlineStr">
        <is>
          <t>2 - The tests</t>
        </is>
      </c>
      <c r="D8" s="7" t="n">
        <v>2</v>
      </c>
      <c r="E8" s="4">
        <f>F7</f>
        <v/>
      </c>
      <c r="F8" s="4">
        <f>E8+D8</f>
        <v/>
      </c>
      <c r="G8" s="4">
        <f>INT(E8/60)&amp;":"&amp;TEXT(MOD(E8,60),"00")&amp;" - "&amp;INT(F8/60)&amp;":"&amp;TEXT(MOD(F8,60),"00")</f>
        <v/>
      </c>
      <c r="H8" s="8" t="inlineStr">
        <is>
          <t>Camera</t>
        </is>
      </c>
      <c r="I8" s="4" t="inlineStr">
        <is>
          <t>S1 Night</t>
        </is>
      </c>
      <c r="J8" s="5" t="inlineStr">
        <is>
          <t>B</t>
        </is>
      </c>
      <c r="K8" s="6" t="inlineStr">
        <is>
          <t>On bed R, eye height, close</t>
        </is>
      </c>
      <c r="L8" s="5" t="inlineStr">
        <is>
          <t>OFF</t>
        </is>
      </c>
      <c r="M8" s="6" t="inlineStr">
        <is>
          <t>Profile of your face lit green by the screen. Small, real smile.</t>
        </is>
      </c>
      <c r="N8" s="6" t="inlineStr">
        <is>
          <t>98 passed</t>
        </is>
      </c>
    </row>
    <row r="9" ht="42" customHeight="1">
      <c r="A9" s="9" t="n">
        <v>4</v>
      </c>
      <c r="B9" s="10" t="inlineStr">
        <is>
          <t>Hell</t>
        </is>
      </c>
      <c r="C9" s="11" t="inlineStr">
        <is>
          <t>2 - The tests</t>
        </is>
      </c>
      <c r="D9" s="7" t="n">
        <v>2</v>
      </c>
      <c r="E9" s="9">
        <f>F8</f>
        <v/>
      </c>
      <c r="F9" s="9">
        <f>E9+D9</f>
        <v/>
      </c>
      <c r="G9" s="9">
        <f>INT(E9/60)&amp;":"&amp;TEXT(MOD(E9,60),"00")&amp;" - "&amp;INT(F9/60)&amp;":"&amp;TEXT(MOD(F9,60),"00")</f>
        <v/>
      </c>
      <c r="H9" s="8" t="inlineStr">
        <is>
          <t>Camera</t>
        </is>
      </c>
      <c r="I9" s="9" t="inlineStr">
        <is>
          <t>S1 Night</t>
        </is>
      </c>
      <c r="J9" s="10" t="inlineStr">
        <is>
          <t>B</t>
        </is>
      </c>
      <c r="K9" s="11" t="inlineStr">
        <is>
          <t>On bed R, eye height, close</t>
        </is>
      </c>
      <c r="L9" s="10" t="inlineStr">
        <is>
          <t>OFF</t>
        </is>
      </c>
      <c r="M9" s="11" t="inlineStr">
        <is>
          <t>Same profile, lit red. Dead-eyed. Try not to blink.</t>
        </is>
      </c>
      <c r="N9" s="11" t="inlineStr">
        <is>
          <t>one line. 3:47am.</t>
        </is>
      </c>
    </row>
    <row r="10" ht="42" customHeight="1">
      <c r="A10" s="4" t="n">
        <v>5</v>
      </c>
      <c r="B10" s="5" t="inlineStr">
        <is>
          <t>Beauty</t>
        </is>
      </c>
      <c r="C10" s="6" t="inlineStr">
        <is>
          <t>3 - The ship</t>
        </is>
      </c>
      <c r="D10" s="7" t="n">
        <v>2</v>
      </c>
      <c r="E10" s="4">
        <f>F9</f>
        <v/>
      </c>
      <c r="F10" s="4">
        <f>E10+D10</f>
        <v/>
      </c>
      <c r="G10" s="4">
        <f>INT(E10/60)&amp;":"&amp;TEXT(MOD(E10,60),"00")&amp;" - "&amp;INT(F10/60)&amp;":"&amp;TEXT(MOD(F10,60),"00")</f>
        <v/>
      </c>
      <c r="H10" s="8" t="inlineStr">
        <is>
          <t>Camera</t>
        </is>
      </c>
      <c r="I10" s="4" t="inlineStr">
        <is>
          <t>S1 Night</t>
        </is>
      </c>
      <c r="J10" s="5" t="inlineStr">
        <is>
          <t>C</t>
        </is>
      </c>
      <c r="K10" s="6" t="inlineStr">
        <is>
          <t>On bed R, chest height, back</t>
        </is>
      </c>
      <c r="L10" s="5" t="inlineStr">
        <is>
          <t>GOLD</t>
        </is>
      </c>
      <c r="M10" s="6" t="inlineStr">
        <is>
          <t>You hit Enter, lean back, arms behind your head.</t>
        </is>
      </c>
      <c r="N10" s="6" t="inlineStr">
        <is>
          <t>shipped</t>
        </is>
      </c>
    </row>
    <row r="11" ht="42" customHeight="1">
      <c r="A11" s="9" t="n">
        <v>6</v>
      </c>
      <c r="B11" s="10" t="inlineStr">
        <is>
          <t>Hell</t>
        </is>
      </c>
      <c r="C11" s="11" t="inlineStr">
        <is>
          <t>3 - The ship</t>
        </is>
      </c>
      <c r="D11" s="7" t="n">
        <v>2</v>
      </c>
      <c r="E11" s="9">
        <f>F10</f>
        <v/>
      </c>
      <c r="F11" s="9">
        <f>E11+D11</f>
        <v/>
      </c>
      <c r="G11" s="9">
        <f>INT(E11/60)&amp;":"&amp;TEXT(MOD(E11,60),"00")&amp;" - "&amp;INT(F11/60)&amp;":"&amp;TEXT(MOD(F11,60),"00")</f>
        <v/>
      </c>
      <c r="H11" s="8" t="inlineStr">
        <is>
          <t>Camera</t>
        </is>
      </c>
      <c r="I11" s="9" t="inlineStr">
        <is>
          <t>S1 Night</t>
        </is>
      </c>
      <c r="J11" s="10" t="inlineStr">
        <is>
          <t>C</t>
        </is>
      </c>
      <c r="K11" s="11" t="inlineStr">
        <is>
          <t>On bed R, chest height, back</t>
        </is>
      </c>
      <c r="L11" s="10" t="inlineStr">
        <is>
          <t>WHITE</t>
        </is>
      </c>
      <c r="M11" s="11" t="inlineStr">
        <is>
          <t>Same frame. You lurch forward as the laptop lights up.</t>
        </is>
      </c>
      <c r="N11" s="11" t="inlineStr">
        <is>
          <t>four minutes later</t>
        </is>
      </c>
    </row>
    <row r="12" ht="42" customHeight="1">
      <c r="A12" s="4" t="n">
        <v>7</v>
      </c>
      <c r="B12" s="5" t="inlineStr">
        <is>
          <t>Beauty</t>
        </is>
      </c>
      <c r="C12" s="6" t="inlineStr">
        <is>
          <t>4 - The bug</t>
        </is>
      </c>
      <c r="D12" s="7" t="n">
        <v>2</v>
      </c>
      <c r="E12" s="4">
        <f>F11</f>
        <v/>
      </c>
      <c r="F12" s="4">
        <f>E12+D12</f>
        <v/>
      </c>
      <c r="G12" s="4">
        <f>INT(E12/60)&amp;":"&amp;TEXT(MOD(E12,60),"00")&amp;" - "&amp;INT(F12/60)&amp;":"&amp;TEXT(MOD(F12,60),"00")</f>
        <v/>
      </c>
      <c r="H12" s="8" t="inlineStr">
        <is>
          <t>Camera</t>
        </is>
      </c>
      <c r="I12" s="4" t="inlineStr">
        <is>
          <t>S1 Night</t>
        </is>
      </c>
      <c r="J12" s="5" t="inlineStr">
        <is>
          <t>D</t>
        </is>
      </c>
      <c r="K12" s="6" t="inlineStr">
        <is>
          <t>Walkway, over your shoulder</t>
        </is>
      </c>
      <c r="L12" s="5" t="inlineStr">
        <is>
          <t>GOLD</t>
        </is>
      </c>
      <c r="M12" s="6" t="inlineStr">
        <is>
          <t>Your hand comes up and points at the screen. Found it.</t>
        </is>
      </c>
      <c r="N12" s="6" t="inlineStr">
        <is>
          <t>found it</t>
        </is>
      </c>
    </row>
    <row r="13" ht="42" customHeight="1">
      <c r="A13" s="9" t="n">
        <v>8</v>
      </c>
      <c r="B13" s="10" t="inlineStr">
        <is>
          <t>Hell</t>
        </is>
      </c>
      <c r="C13" s="11" t="inlineStr">
        <is>
          <t>4 - The bug</t>
        </is>
      </c>
      <c r="D13" s="7" t="n">
        <v>2</v>
      </c>
      <c r="E13" s="9">
        <f>F12</f>
        <v/>
      </c>
      <c r="F13" s="9">
        <f>E13+D13</f>
        <v/>
      </c>
      <c r="G13" s="9">
        <f>INT(E13/60)&amp;":"&amp;TEXT(MOD(E13,60),"00")&amp;" - "&amp;INT(F13/60)&amp;":"&amp;TEXT(MOD(F13,60),"00")</f>
        <v/>
      </c>
      <c r="H13" s="9" t="inlineStr">
        <is>
          <t>Screen rec</t>
        </is>
      </c>
      <c r="I13" s="9" t="inlineStr">
        <is>
          <t>S2 Screen</t>
        </is>
      </c>
      <c r="J13" s="10" t="inlineStr">
        <is>
          <t>-</t>
        </is>
      </c>
      <c r="K13" s="11" t="inlineStr">
        <is>
          <t>-</t>
        </is>
      </c>
      <c r="L13" s="10" t="inlineStr">
        <is>
          <t>-</t>
        </is>
      </c>
      <c r="M13" s="11" t="inlineStr">
        <is>
          <t>git blame on that line - your own name, months ago.</t>
        </is>
      </c>
      <c r="N13" s="11" t="inlineStr">
        <is>
          <t>it was me. eight months ago.</t>
        </is>
      </c>
    </row>
    <row r="14" ht="42" customHeight="1">
      <c r="A14" s="4" t="n">
        <v>9</v>
      </c>
      <c r="B14" s="5" t="inlineStr">
        <is>
          <t>Beauty</t>
        </is>
      </c>
      <c r="C14" s="6" t="inlineStr">
        <is>
          <t>5 - Flow state</t>
        </is>
      </c>
      <c r="D14" s="7" t="n">
        <v>2</v>
      </c>
      <c r="E14" s="4">
        <f>F13</f>
        <v/>
      </c>
      <c r="F14" s="4">
        <f>E14+D14</f>
        <v/>
      </c>
      <c r="G14" s="4">
        <f>INT(E14/60)&amp;":"&amp;TEXT(MOD(E14,60),"00")&amp;" - "&amp;INT(F14/60)&amp;":"&amp;TEXT(MOD(F14,60),"00")</f>
        <v/>
      </c>
      <c r="H14" s="8" t="inlineStr">
        <is>
          <t>Camera</t>
        </is>
      </c>
      <c r="I14" s="4" t="inlineStr">
        <is>
          <t>S1 Night</t>
        </is>
      </c>
      <c r="J14" s="5" t="inlineStr">
        <is>
          <t>A</t>
        </is>
      </c>
      <c r="K14" s="6" t="inlineStr">
        <is>
          <t>Walkway, behind, high</t>
        </is>
      </c>
      <c r="L14" s="5" t="inlineStr">
        <is>
          <t>OFF</t>
        </is>
      </c>
      <c r="M14" s="6" t="inlineStr">
        <is>
          <t>Headphones on. You in silhouette against the glowing screen.</t>
        </is>
      </c>
      <c r="N14" s="6" t="inlineStr">
        <is>
          <t>3am is the only quiet hour</t>
        </is>
      </c>
    </row>
    <row r="15" ht="42" customHeight="1">
      <c r="A15" s="9" t="n">
        <v>10</v>
      </c>
      <c r="B15" s="10" t="inlineStr">
        <is>
          <t>Hell</t>
        </is>
      </c>
      <c r="C15" s="11" t="inlineStr">
        <is>
          <t>5 - Flow state</t>
        </is>
      </c>
      <c r="D15" s="7" t="n">
        <v>2</v>
      </c>
      <c r="E15" s="9">
        <f>F14</f>
        <v/>
      </c>
      <c r="F15" s="9">
        <f>E15+D15</f>
        <v/>
      </c>
      <c r="G15" s="9">
        <f>INT(E15/60)&amp;":"&amp;TEXT(MOD(E15,60),"00")&amp;" - "&amp;INT(F15/60)&amp;":"&amp;TEXT(MOD(F15,60),"00")</f>
        <v/>
      </c>
      <c r="H15" s="8" t="inlineStr">
        <is>
          <t>Camera</t>
        </is>
      </c>
      <c r="I15" s="9" t="inlineStr">
        <is>
          <t>S1 Night</t>
        </is>
      </c>
      <c r="J15" s="10" t="inlineStr">
        <is>
          <t>A</t>
        </is>
      </c>
      <c r="K15" s="11" t="inlineStr">
        <is>
          <t>Walkway, behind, high</t>
        </is>
      </c>
      <c r="L15" s="10" t="inlineStr">
        <is>
          <t>WARM</t>
        </is>
      </c>
      <c r="M15" s="11" t="inlineStr">
        <is>
          <t>Identical frame. Warm light creeping in from behind. More tired.</t>
        </is>
      </c>
      <c r="N15" s="11" t="inlineStr">
        <is>
          <t>still here</t>
        </is>
      </c>
    </row>
    <row r="16" ht="42" customHeight="1">
      <c r="A16" s="4" t="n">
        <v>11</v>
      </c>
      <c r="B16" s="5" t="inlineStr">
        <is>
          <t>Beauty</t>
        </is>
      </c>
      <c r="C16" s="6" t="inlineStr">
        <is>
          <t>6 - It works</t>
        </is>
      </c>
      <c r="D16" s="7" t="n">
        <v>2</v>
      </c>
      <c r="E16" s="4">
        <f>F15</f>
        <v/>
      </c>
      <c r="F16" s="4">
        <f>E16+D16</f>
        <v/>
      </c>
      <c r="G16" s="4">
        <f>INT(E16/60)&amp;":"&amp;TEXT(MOD(E16,60),"00")&amp;" - "&amp;INT(F16/60)&amp;":"&amp;TEXT(MOD(F16,60),"00")</f>
        <v/>
      </c>
      <c r="H16" s="8" t="inlineStr">
        <is>
          <t>Camera</t>
        </is>
      </c>
      <c r="I16" s="4" t="inlineStr">
        <is>
          <t>S1 Night</t>
        </is>
      </c>
      <c r="J16" s="5" t="inlineStr">
        <is>
          <t>B</t>
        </is>
      </c>
      <c r="K16" s="6" t="inlineStr">
        <is>
          <t>On bed R, eye height, close</t>
        </is>
      </c>
      <c r="L16" s="5" t="inlineStr">
        <is>
          <t>GOLD</t>
        </is>
      </c>
      <c r="M16" s="6" t="inlineStr">
        <is>
          <t>Your real reaction as the thing runs for the first time.</t>
        </is>
      </c>
      <c r="N16" s="6" t="inlineStr">
        <is>
          <t>it works</t>
        </is>
      </c>
    </row>
    <row r="17" ht="42" customHeight="1">
      <c r="A17" s="9" t="n">
        <v>12</v>
      </c>
      <c r="B17" s="10" t="inlineStr">
        <is>
          <t>Hell</t>
        </is>
      </c>
      <c r="C17" s="11" t="inlineStr">
        <is>
          <t>6 - It works</t>
        </is>
      </c>
      <c r="D17" s="7" t="n">
        <v>2</v>
      </c>
      <c r="E17" s="9">
        <f>F16</f>
        <v/>
      </c>
      <c r="F17" s="9">
        <f>E17+D17</f>
        <v/>
      </c>
      <c r="G17" s="9">
        <f>INT(E17/60)&amp;":"&amp;TEXT(MOD(E17,60),"00")&amp;" - "&amp;INT(F17/60)&amp;":"&amp;TEXT(MOD(F17,60),"00")</f>
        <v/>
      </c>
      <c r="H17" s="8" t="inlineStr">
        <is>
          <t>Camera</t>
        </is>
      </c>
      <c r="I17" s="9" t="inlineStr">
        <is>
          <t>S1 Night</t>
        </is>
      </c>
      <c r="J17" s="10" t="inlineStr">
        <is>
          <t>E</t>
        </is>
      </c>
      <c r="K17" s="11" t="inlineStr">
        <is>
          <t>Walkway, far end, high</t>
        </is>
      </c>
      <c r="L17" s="10" t="inlineStr">
        <is>
          <t>WHITE</t>
        </is>
      </c>
      <c r="M17" s="11" t="inlineStr">
        <is>
          <t>Pull way back. The whole room - both beds, the mess, you small in it.</t>
        </is>
      </c>
      <c r="N17" s="11" t="inlineStr">
        <is>
          <t>and now I maintain it. forever.</t>
        </is>
      </c>
    </row>
    <row r="18" ht="42" customHeight="1">
      <c r="A18" s="12" t="n">
        <v>13</v>
      </c>
      <c r="B18" s="13" t="inlineStr">
        <is>
          <t>Closer</t>
        </is>
      </c>
      <c r="C18" s="14" t="inlineStr">
        <is>
          <t>Land on beauty</t>
        </is>
      </c>
      <c r="D18" s="7" t="n">
        <v>4</v>
      </c>
      <c r="E18" s="12">
        <f>F17</f>
        <v/>
      </c>
      <c r="F18" s="12">
        <f>E18+D18</f>
        <v/>
      </c>
      <c r="G18" s="12">
        <f>INT(E18/60)&amp;":"&amp;TEXT(MOD(E18,60),"00")&amp;" - "&amp;INT(F18/60)&amp;":"&amp;TEXT(MOD(F18,60),"00")</f>
        <v/>
      </c>
      <c r="H18" s="12" t="inlineStr">
        <is>
          <t>Screen rec</t>
        </is>
      </c>
      <c r="I18" s="12" t="inlineStr">
        <is>
          <t>S2 Screen</t>
        </is>
      </c>
      <c r="J18" s="13" t="inlineStr">
        <is>
          <t>-</t>
        </is>
      </c>
      <c r="K18" s="14" t="inlineStr">
        <is>
          <t>-</t>
        </is>
      </c>
      <c r="L18" s="13" t="inlineStr">
        <is>
          <t>-</t>
        </is>
      </c>
      <c r="M18" s="14" t="inlineStr">
        <is>
          <t>demo_guardian.py - PATCH REFUSED lands in red.</t>
        </is>
      </c>
      <c r="N18" s="14" t="inlineStr">
        <is>
          <t>and I would do it again tomorrow</t>
        </is>
      </c>
    </row>
    <row r="19">
      <c r="A19" s="15" t="n"/>
      <c r="B19" s="15" t="n"/>
      <c r="C19" s="16" t="inlineStr">
        <is>
          <t>TOTAL RUNTIME</t>
        </is>
      </c>
      <c r="D19" s="16">
        <f>SUM(D6:D18)</f>
        <v/>
      </c>
      <c r="E19" s="15" t="n"/>
      <c r="F19" s="15" t="n"/>
      <c r="G19" s="16">
        <f>"0:"&amp;TEXT(SUM(D6:D18),"00")&amp;" total"</f>
        <v/>
      </c>
      <c r="H19" s="15" t="n"/>
      <c r="I19" s="15" t="n"/>
      <c r="J19" s="15" t="n"/>
      <c r="K19" s="15" t="n"/>
      <c r="L19" s="15" t="n"/>
      <c r="M19" s="15" t="n"/>
      <c r="N19" s="15" t="n"/>
    </row>
    <row r="21">
      <c r="A21" s="17" t="inlineStr">
        <is>
          <t>Camera clips</t>
        </is>
      </c>
      <c r="D21" s="17">
        <f>COUNTIF(H6:H18,"Camera")</f>
        <v/>
      </c>
    </row>
    <row r="22">
      <c r="A22" s="17" t="inlineStr">
        <is>
          <t>Screen recordings</t>
        </is>
      </c>
      <c r="D22" s="17">
        <f>COUNTIF(H6:H18,"Screen rec")</f>
        <v/>
      </c>
    </row>
    <row r="23">
      <c r="A23" s="17" t="inlineStr">
        <is>
          <t>Shot from the walkway (A/D/E)</t>
        </is>
      </c>
      <c r="D23" s="17">
        <f>COUNTIF(J6:J18,"A")+COUNTIF(J6:J18,"D")+COUNTIF(J6:J18,"E")</f>
        <v/>
      </c>
    </row>
    <row r="24">
      <c r="A24" s="17" t="inlineStr">
        <is>
          <t>Shot from bed R (B/C)</t>
        </is>
      </c>
      <c r="D24" s="17">
        <f>COUNTIF(J6:J18,"B")+COUNTIF(J6:J18,"C")</f>
        <v/>
      </c>
    </row>
    <row r="25">
      <c r="A25" s="17" t="inlineStr">
        <is>
          <t>Clips in the night session</t>
        </is>
      </c>
      <c r="D25" s="17">
        <f>COUNTIF(I6:I18,"S1 Night")</f>
        <v/>
      </c>
    </row>
    <row r="26">
      <c r="A26" s="17" t="inlineStr">
        <is>
          <t>Clips needing no camera</t>
        </is>
      </c>
      <c r="D26" s="17">
        <f>COUNTIF(I6:I18,"S2 Screen")</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2" customWidth="1" min="1" max="1"/>
    <col width="110" customWidth="1" min="2" max="2"/>
  </cols>
  <sheetData>
    <row r="1">
      <c r="A1" s="1" t="inlineStr">
        <is>
          <t>Every clip, step by step</t>
        </is>
      </c>
    </row>
    <row r="2">
      <c r="A2" s="2" t="inlineStr">
        <is>
          <t>One block per clip. Set up, press record, do the action, stop. Three takes each. Nothing here needs you to remember anything from another sheet.</t>
        </is>
      </c>
    </row>
    <row r="4" ht="22" customHeight="1">
      <c r="A4" s="18" t="inlineStr">
        <is>
          <t>CLIP 1  |  Beauty  |  GOLD lamp</t>
        </is>
      </c>
    </row>
    <row r="5" ht="52" customHeight="1">
      <c r="A5" s="19" t="inlineStr">
        <is>
          <t>Set up</t>
        </is>
      </c>
      <c r="B5" s="6" t="inlineStr">
        <is>
          <t>Tripod in the WALKWAY behind your chair, legs high (~1.7m), tilted DOWN at the desk. Frame: your empty chair, the desk, the laptop, the far wall. Tilting down is what keeps the two beds out of shot — check the edges of the frame before you record.</t>
        </is>
      </c>
    </row>
    <row r="6" ht="52" customHeight="1">
      <c r="A6" s="19" t="inlineStr">
        <is>
          <t>Do this</t>
        </is>
      </c>
      <c r="B6" s="6" t="inlineStr">
        <is>
          <t>Start with the chair EMPTY. Walk in from the left, sit, put the water bottle on the desk, roll the chair in, both hands on the keyboard. Then hold still for 3 seconds.</t>
        </is>
      </c>
    </row>
    <row r="7" ht="52" customHeight="1">
      <c r="A7" s="19" t="inlineStr">
        <is>
          <t>Watch out</t>
        </is>
      </c>
      <c r="B7" s="6" t="inlineStr">
        <is>
          <t>The empty-chair start is what makes it read as 'beginning'. Do not skip it.</t>
        </is>
      </c>
    </row>
    <row r="9" ht="22" customHeight="1">
      <c r="A9" s="18" t="inlineStr">
        <is>
          <t>CLIP 2  |  Hell  |  WHITE lamp</t>
        </is>
      </c>
    </row>
    <row r="10" ht="52" customHeight="1">
      <c r="A10" s="20" t="inlineStr">
        <is>
          <t>Set up</t>
        </is>
      </c>
      <c r="B10" s="11" t="inlineStr">
        <is>
          <t>IDENTICAL to clip 1. Same spot in the walkway, same height, same tilt. Nothing moves except the lamp mode.</t>
        </is>
      </c>
    </row>
    <row r="11" ht="52" customHeight="1">
      <c r="A11" s="20" t="inlineStr">
        <is>
          <t>Do this</t>
        </is>
      </c>
      <c r="B11" s="11" t="inlineStr">
        <is>
          <t>Already seated. Slumped low, one hand up on your forehead or through your hair. Screen still blank. Do nothing for 4 seconds.</t>
        </is>
      </c>
    </row>
    <row r="12" ht="52" customHeight="1">
      <c r="A12" s="20" t="inlineStr">
        <is>
          <t>Watch out</t>
        </is>
      </c>
      <c r="B12" s="11" t="inlineStr">
        <is>
          <t>Do not act tired. Be still and let the white light do the work.</t>
        </is>
      </c>
    </row>
    <row r="14" ht="22" customHeight="1">
      <c r="A14" s="18" t="inlineStr">
        <is>
          <t>CLIP 3  |  Beauty  |  Lamp OFF</t>
        </is>
      </c>
    </row>
    <row r="15" ht="52" customHeight="1">
      <c r="A15" s="19" t="inlineStr">
        <is>
          <t>Set up</t>
        </is>
      </c>
      <c r="B15" s="6" t="inlineStr">
        <is>
          <t>Tripod standing ON BED R (the right-hand bed), at eye height, close — about an arm's length from your face. Frame: your face in profile, edge of the laptop. Room fully dark so the background disappears entirely.</t>
        </is>
      </c>
    </row>
    <row r="16" ht="52" customHeight="1">
      <c r="A16" s="19" t="inlineStr">
        <is>
          <t>Do this</t>
        </is>
      </c>
      <c r="B16" s="6" t="inlineStr">
        <is>
          <t>Fill your terminal with green output first so it lights your face. Look at the screen and let a small, real smile arrive. Do not perform it.</t>
        </is>
      </c>
    </row>
    <row r="17" ht="52" customHeight="1">
      <c r="A17" s="19" t="inlineStr">
        <is>
          <t>Watch out</t>
        </is>
      </c>
      <c r="B17" s="6" t="inlineStr">
        <is>
          <t>Run: python3 -m pytest tests/ -q — the green pass block is your only light source.</t>
        </is>
      </c>
    </row>
    <row r="19" ht="22" customHeight="1">
      <c r="A19" s="18" t="inlineStr">
        <is>
          <t>CLIP 4  |  Hell  |  Lamp OFF</t>
        </is>
      </c>
    </row>
    <row r="20" ht="52" customHeight="1">
      <c r="A20" s="20" t="inlineStr">
        <is>
          <t>Set up</t>
        </is>
      </c>
      <c r="B20" s="11" t="inlineStr">
        <is>
          <t>EXACTLY where clip 3 was. Do not move the tripod between these two. Only the screen colour changes.</t>
        </is>
      </c>
    </row>
    <row r="21" ht="52" customHeight="1">
      <c r="A21" s="20" t="inlineStr">
        <is>
          <t>Do this</t>
        </is>
      </c>
      <c r="B21" s="11" t="inlineStr">
        <is>
          <t>Fill the terminal with red failure output. Same position, same distance. Blank face, eyes still, try not to blink. Hold 4 seconds.</t>
        </is>
      </c>
    </row>
    <row r="22" ht="52" customHeight="1">
      <c r="A22" s="20" t="inlineStr">
        <is>
          <t>Watch out</t>
        </is>
      </c>
      <c r="B22" s="11" t="inlineStr">
        <is>
          <t>This is the best pair in the reel and it only works if nothing moved.</t>
        </is>
      </c>
    </row>
    <row r="24" ht="22" customHeight="1">
      <c r="A24" s="18" t="inlineStr">
        <is>
          <t>CLIP 5  |  Beauty  |  GOLD lamp</t>
        </is>
      </c>
    </row>
    <row r="25" ht="52" customHeight="1">
      <c r="A25" s="19" t="inlineStr">
        <is>
          <t>Set up</t>
        </is>
      </c>
      <c r="B25" s="6" t="inlineStr">
        <is>
          <t>Tripod on BED R, chest height, further back so your whole upper body and the desk are in frame, side on. Keep the lamp low and close to you so its pool of light does not reach the other bed.</t>
        </is>
      </c>
    </row>
    <row r="26" ht="52" customHeight="1">
      <c r="A26" s="19" t="inlineStr">
        <is>
          <t>Do this</t>
        </is>
      </c>
      <c r="B26" s="6" t="inlineStr">
        <is>
          <t>Type a few keys, hit Enter with some weight, then lean back with both arms behind your head. Hold the lean for 3 seconds.</t>
        </is>
      </c>
    </row>
    <row r="27" ht="52" customHeight="1">
      <c r="A27" s="19" t="inlineStr">
        <is>
          <t>Watch out</t>
        </is>
      </c>
      <c r="B27" s="6" t="inlineStr">
        <is>
          <t>The lean-back is the shot. Hold it longer than feels natural.</t>
        </is>
      </c>
    </row>
    <row r="29" ht="22" customHeight="1">
      <c r="A29" s="18" t="inlineStr">
        <is>
          <t>CLIP 6  |  Hell  |  WHITE lamp</t>
        </is>
      </c>
    </row>
    <row r="30" ht="52" customHeight="1">
      <c r="A30" s="20" t="inlineStr">
        <is>
          <t>Set up</t>
        </is>
      </c>
      <c r="B30" s="11" t="inlineStr">
        <is>
          <t>Same spot on BED R as clip 5. Same height, same distance.</t>
        </is>
      </c>
    </row>
    <row r="31" ht="52" customHeight="1">
      <c r="A31" s="20" t="inlineStr">
        <is>
          <t>Do this</t>
        </is>
      </c>
      <c r="B31" s="11" t="inlineStr">
        <is>
          <t>Start leaning back exactly as you ended clip 5, then snap forward toward the laptop as though something has gone wrong. One fast movement.</t>
        </is>
      </c>
    </row>
    <row r="32" ht="52" customHeight="1">
      <c r="A32" s="20" t="inlineStr">
        <is>
          <t>Watch out</t>
        </is>
      </c>
      <c r="B32" s="11" t="inlineStr">
        <is>
          <t>Starting in clip 5's end position is what makes the cut land.</t>
        </is>
      </c>
    </row>
    <row r="34" ht="22" customHeight="1">
      <c r="A34" s="18" t="inlineStr">
        <is>
          <t>CLIP 7  |  Beauty  |  GOLD lamp</t>
        </is>
      </c>
    </row>
    <row r="35" ht="52" customHeight="1">
      <c r="A35" s="19" t="inlineStr">
        <is>
          <t>Set up</t>
        </is>
      </c>
      <c r="B35" s="6" t="inlineStr">
        <is>
          <t>Tripod in the WALKWAY, closer than Mark A, raised just above your shoulder (~1.6m), angled down at the screen. Frame: your shoulder and head bottom-left, screen filling the rest. This framing naturally excludes both beds.</t>
        </is>
      </c>
    </row>
    <row r="36" ht="52" customHeight="1">
      <c r="A36" s="19" t="inlineStr">
        <is>
          <t>Do this</t>
        </is>
      </c>
      <c r="B36" s="6" t="inlineStr">
        <is>
          <t>Look at the screen, pause, then bring your hand up and point at one line. Hold the point.</t>
        </is>
      </c>
    </row>
    <row r="37" ht="52" customHeight="1">
      <c r="A37" s="19" t="inlineStr">
        <is>
          <t>Watch out</t>
        </is>
      </c>
      <c r="B37" s="6" t="inlineStr">
        <is>
          <t>The screen does not need to be readable — the gesture carries it. Angle slightly off-square to the screen to avoid banding.</t>
        </is>
      </c>
    </row>
    <row r="39" ht="22" customHeight="1">
      <c r="A39" s="18" t="inlineStr">
        <is>
          <t>CLIP 8  |  Hell  |  No camera</t>
        </is>
      </c>
    </row>
    <row r="40" ht="52" customHeight="1">
      <c r="A40" s="20" t="inlineStr">
        <is>
          <t>Set up</t>
        </is>
      </c>
      <c r="B40" s="11" t="inlineStr">
        <is>
          <t>Screen recording only. No tripod, no room, no setup.</t>
        </is>
      </c>
    </row>
    <row r="41" ht="52" customHeight="1">
      <c r="A41" s="20" t="inlineStr">
        <is>
          <t>Do this</t>
        </is>
      </c>
      <c r="B41" s="11" t="inlineStr">
        <is>
          <t>Run git blame on a file and frame it so YOUR NAME and an old date are clearly readable. Record 8 seconds, barely moving the cursor.</t>
        </is>
      </c>
    </row>
    <row r="42" ht="52" customHeight="1">
      <c r="A42" s="20" t="inlineStr">
        <is>
          <t>Watch out</t>
        </is>
      </c>
      <c r="B42" s="11" t="inlineStr">
        <is>
          <t>One of only two screen recordings. Your name must be legible — that is the joke.</t>
        </is>
      </c>
    </row>
    <row r="44" ht="22" customHeight="1">
      <c r="A44" s="18" t="inlineStr">
        <is>
          <t>CLIP 9  |  Beauty  |  Lamp OFF</t>
        </is>
      </c>
    </row>
    <row r="45" ht="52" customHeight="1">
      <c r="A45" s="19" t="inlineStr">
        <is>
          <t>Set up</t>
        </is>
      </c>
      <c r="B45" s="6" t="inlineStr">
        <is>
          <t>Back to Mark A in the walkway — behind, high, tilted down. Identical to clips 1 and 2. Room completely dark; the screen is the only light in the entire frame.</t>
        </is>
      </c>
    </row>
    <row r="46" ht="52" customHeight="1">
      <c r="A46" s="19" t="inlineStr">
        <is>
          <t>Do this</t>
        </is>
      </c>
      <c r="B46" s="6" t="inlineStr">
        <is>
          <t>Headphones on, sit up, hands on the keyboard, type steadily. You will read as a silhouette against the screen. Type for 8 seconds.</t>
        </is>
      </c>
    </row>
    <row r="47" ht="52" customHeight="1">
      <c r="A47" s="19" t="inlineStr">
        <is>
          <t>Watch out</t>
        </is>
      </c>
      <c r="B47" s="6" t="inlineStr">
        <is>
          <t>Total darkness erases the beds completely. This is the easiest good-looking shot you have.</t>
        </is>
      </c>
    </row>
    <row r="49" ht="22" customHeight="1">
      <c r="A49" s="18" t="inlineStr">
        <is>
          <t>CLIP 10  |  Hell  |  WARM lamp</t>
        </is>
      </c>
    </row>
    <row r="50" ht="52" customHeight="1">
      <c r="A50" s="20" t="inlineStr">
        <is>
          <t>Set up</t>
        </is>
      </c>
      <c r="B50" s="11" t="inlineStr">
        <is>
          <t>Mark A, untouched. Same frame as clip 9.</t>
        </is>
      </c>
    </row>
    <row r="51" ht="52" customHeight="1">
      <c r="A51" s="20" t="inlineStr">
        <is>
          <t>Do this</t>
        </is>
      </c>
      <c r="B51" s="11" t="inlineStr">
        <is>
          <t>Same headphones, same seat. Put the lamp on WARM and place it LOW and BEHIND you, near the window end of the walkway, so it creeps in like early light. Slump slightly. Hold 5 seconds.</t>
        </is>
      </c>
    </row>
    <row r="52" ht="52" customHeight="1">
      <c r="A52" s="20" t="inlineStr">
        <is>
          <t>Watch out</t>
        </is>
      </c>
      <c r="B52" s="11" t="inlineStr">
        <is>
          <t>Shoot straight after clip 9 without moving the tripod. The lamp change does the time-passing, so you never need an actual sunrise.</t>
        </is>
      </c>
    </row>
    <row r="54" ht="22" customHeight="1">
      <c r="A54" s="18" t="inlineStr">
        <is>
          <t>CLIP 11  |  Beauty  |  GOLD lamp</t>
        </is>
      </c>
    </row>
    <row r="55" ht="52" customHeight="1">
      <c r="A55" s="19" t="inlineStr">
        <is>
          <t>Set up</t>
        </is>
      </c>
      <c r="B55" s="6" t="inlineStr">
        <is>
          <t>Mark B again — on BED R, eye height, close. Same as clips 3 and 4. Keep the gold lamp low and close to your face so the background stays dark.</t>
        </is>
      </c>
    </row>
    <row r="56" ht="52" customHeight="1">
      <c r="A56" s="19" t="inlineStr">
        <is>
          <t>Do this</t>
        </is>
      </c>
      <c r="B56" s="6" t="inlineStr">
        <is>
          <t>Run demo_guardian.py just off camera and film YOUR FACE watching it work for the first time. Genuine reaction, not a performance.</t>
        </is>
      </c>
    </row>
    <row r="57" ht="52" customHeight="1">
      <c r="A57" s="19" t="inlineStr">
        <is>
          <t>Watch out</t>
        </is>
      </c>
      <c r="B57" s="6" t="inlineStr">
        <is>
          <t>Shoot this one FIRST in the session, before you have watched the demo ten times. The first reaction is the only honest one you get.</t>
        </is>
      </c>
    </row>
    <row r="59" ht="22" customHeight="1">
      <c r="A59" s="18" t="inlineStr">
        <is>
          <t>CLIP 12  |  Hell  |  WHITE lamp</t>
        </is>
      </c>
    </row>
    <row r="60" ht="52" customHeight="1">
      <c r="A60" s="20" t="inlineStr">
        <is>
          <t>Set up</t>
        </is>
      </c>
      <c r="B60" s="11" t="inlineStr">
        <is>
          <t>Tripod at the FAR END of the walkway, near the window, raised high (~1.8m), angled down into the room. Frame: both beds, the desk, the whole room, you small in the middle.</t>
        </is>
      </c>
    </row>
    <row r="61" ht="52" customHeight="1">
      <c r="A61" s="20" t="inlineStr">
        <is>
          <t>Do this</t>
        </is>
      </c>
      <c r="B61" s="11" t="inlineStr">
        <is>
          <t>Sit still, working, small in the frame. Do nothing dramatic. Hold 6 seconds.</t>
        </is>
      </c>
    </row>
    <row r="62" ht="52" customHeight="1">
      <c r="A62" s="20" t="inlineStr">
        <is>
          <t>Watch out</t>
        </is>
      </c>
      <c r="B62" s="11" t="inlineStr">
        <is>
          <t>This is the ONLY shot where the whole room is meant to be visible. Shoot it FIRST, before you tidy anything — see the Frame Control sheet.</t>
        </is>
      </c>
    </row>
    <row r="64" ht="22" customHeight="1">
      <c r="A64" s="18" t="inlineStr">
        <is>
          <t>CLIP 13  |  Closer  |  No camera</t>
        </is>
      </c>
    </row>
    <row r="65" ht="52" customHeight="1">
      <c r="A65" s="21" t="inlineStr">
        <is>
          <t>Set up</t>
        </is>
      </c>
      <c r="B65" s="14" t="inlineStr">
        <is>
          <t>Screen recording. Terminal at 20pt or larger, dark theme, full screen.</t>
        </is>
      </c>
    </row>
    <row r="66" ht="52" customHeight="1">
      <c r="A66" s="21" t="inlineStr">
        <is>
          <t>Do this</t>
        </is>
      </c>
      <c r="B66" s="14" t="inlineStr">
        <is>
          <t>Run python3 demo_guardian.py — record the whole run, then hold on the red PATCH REFUSED banner for 4 full seconds before stopping.</t>
        </is>
      </c>
    </row>
    <row r="67" ht="52" customHeight="1">
      <c r="A67" s="21" t="inlineStr">
        <is>
          <t>Watch out</t>
        </is>
      </c>
      <c r="B67" s="14" t="inlineStr">
        <is>
          <t>This is your closer AND your cover frame. Hold it. Do not cut early.</t>
        </is>
      </c>
    </row>
  </sheetData>
  <mergeCells count="13">
    <mergeCell ref="A4:B4"/>
    <mergeCell ref="A24:B24"/>
    <mergeCell ref="A54:B54"/>
    <mergeCell ref="A29:B29"/>
    <mergeCell ref="A59:B59"/>
    <mergeCell ref="A64:B64"/>
    <mergeCell ref="A19:B19"/>
    <mergeCell ref="A49:B49"/>
    <mergeCell ref="A14:B14"/>
    <mergeCell ref="A44:B44"/>
    <mergeCell ref="A9:B9"/>
    <mergeCell ref="A39:B39"/>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2" customWidth="1" min="1" max="1"/>
    <col width="26" customWidth="1" min="2" max="2"/>
    <col width="42" customWidth="1" min="3" max="3"/>
    <col width="48" customWidth="1" min="4" max="4"/>
  </cols>
  <sheetData>
    <row r="1">
      <c r="A1" s="1" t="inlineStr">
        <is>
          <t>Your room — where the camera can actually go</t>
        </is>
      </c>
    </row>
    <row r="2">
      <c r="A2" s="2" t="inlineStr">
        <is>
          <t>Desk against the far wall with a BED ON EACH SIDE. The only floor space is the walkway behind your chair. Window and balcony at the far end, behind you.</t>
        </is>
      </c>
    </row>
    <row r="4">
      <c r="A4" s="22" t="inlineStr">
        <is>
          <t>The layout</t>
        </is>
      </c>
    </row>
    <row r="5">
      <c r="A5" s="23" t="inlineStr">
        <is>
          <t xml:space="preserve">     # # # # # #  FAR WALL  # # # # # # #</t>
        </is>
      </c>
    </row>
    <row r="6">
      <c r="A6" s="23" t="inlineStr">
        <is>
          <t xml:space="preserve">     #                                  #</t>
        </is>
      </c>
    </row>
    <row r="7">
      <c r="A7" s="23" t="inlineStr">
        <is>
          <t xml:space="preserve">     #        [ laptop ]  [ 2nd ]       #</t>
        </is>
      </c>
    </row>
    <row r="8">
      <c r="A8" s="23" t="inlineStr">
        <is>
          <t xml:space="preserve">     #     __________________________   #</t>
        </is>
      </c>
    </row>
    <row r="9">
      <c r="A9" s="23" t="inlineStr">
        <is>
          <t xml:space="preserve">     #    |      grey top            |  #</t>
        </is>
      </c>
    </row>
    <row r="10">
      <c r="A10" s="23" t="inlineStr">
        <is>
          <t xml:space="preserve">     #    |    BLUE DRAWER UNIT      |  #</t>
        </is>
      </c>
    </row>
    <row r="11">
      <c r="A11" s="23" t="inlineStr">
        <is>
          <t xml:space="preserve">     #    |__________________________|  #</t>
        </is>
      </c>
    </row>
    <row r="12">
      <c r="A12" s="23" t="inlineStr">
        <is>
          <t xml:space="preserve">     #                                  #</t>
        </is>
      </c>
    </row>
    <row r="13">
      <c r="A13" s="23" t="inlineStr">
        <is>
          <t xml:space="preserve">     #   _______   (chair)   _______    #</t>
        </is>
      </c>
    </row>
    <row r="14">
      <c r="A14" s="23" t="inlineStr">
        <is>
          <t xml:space="preserve">     #  |       |    YOU     |      |   #</t>
        </is>
      </c>
    </row>
    <row r="15">
      <c r="A15" s="23" t="inlineStr">
        <is>
          <t xml:space="preserve">     #  | BED L |            | BED R|   #</t>
        </is>
      </c>
    </row>
    <row r="16">
      <c r="A16" s="23" t="inlineStr">
        <is>
          <t xml:space="preserve">     #  |       |            |  ^   |   #</t>
        </is>
      </c>
    </row>
    <row r="17">
      <c r="A17" s="23" t="inlineStr">
        <is>
          <t xml:space="preserve">     #  |_______|     |      |__B/C_|   #</t>
        </is>
      </c>
    </row>
    <row r="18">
      <c r="A18" s="23" t="inlineStr">
        <is>
          <t xml:space="preserve">     #             WALKWAY             #</t>
        </is>
      </c>
    </row>
    <row r="19">
      <c r="A19" s="23" t="inlineStr">
        <is>
          <t xml:space="preserve">     #             Marks A, D          #</t>
        </is>
      </c>
    </row>
    <row r="20">
      <c r="A20" s="23" t="inlineStr">
        <is>
          <t xml:space="preserve">     #                |                #</t>
        </is>
      </c>
    </row>
    <row r="21">
      <c r="A21" s="23" t="inlineStr">
        <is>
          <t xml:space="preserve">     #             Mark E (far end)    #</t>
        </is>
      </c>
    </row>
    <row r="22">
      <c r="A22" s="23" t="inlineStr">
        <is>
          <t xml:space="preserve">     #                                 #</t>
        </is>
      </c>
    </row>
    <row r="23">
      <c r="A23" s="23" t="inlineStr">
        <is>
          <t xml:space="preserve">     #  ~~~~~ WINDOW / BALCONY ~~~~~   #</t>
        </is>
      </c>
    </row>
    <row r="24">
      <c r="A24" s="23" t="inlineStr">
        <is>
          <t xml:space="preserve">     # # # # # # # # # # # # # # # # # #</t>
        </is>
      </c>
    </row>
    <row r="26">
      <c r="A26" s="3" t="inlineStr">
        <is>
          <t>Position</t>
        </is>
      </c>
      <c r="B26" s="3" t="inlineStr">
        <is>
          <t>Usable?</t>
        </is>
      </c>
      <c r="C26" s="3" t="inlineStr">
        <is>
          <t>Marks</t>
        </is>
      </c>
      <c r="D26" s="3" t="inlineStr">
        <is>
          <t>Notes</t>
        </is>
      </c>
    </row>
    <row r="27" ht="48" customHeight="1">
      <c r="A27" s="24" t="inlineStr">
        <is>
          <t>Walkway behind you</t>
        </is>
      </c>
      <c r="B27" s="25" t="inlineStr">
        <is>
          <t>YES - main</t>
        </is>
      </c>
      <c r="C27" s="25" t="inlineStr">
        <is>
          <t>A, D, E</t>
        </is>
      </c>
      <c r="D27" s="25" t="inlineStr">
        <is>
          <t>Your only real floor space. Tripod goes here for 6 of the 11 camera clips. Tilt DOWN to keep both beds out of frame.</t>
        </is>
      </c>
    </row>
    <row r="28" ht="48" customHeight="1">
      <c r="A28" s="24" t="inlineStr">
        <is>
          <t>Standing on BED R</t>
        </is>
      </c>
      <c r="B28" s="25" t="inlineStr">
        <is>
          <t>YES</t>
        </is>
      </c>
      <c r="C28" s="25" t="inlineStr">
        <is>
          <t>B, C</t>
        </is>
      </c>
      <c r="D28" s="25" t="inlineStr">
        <is>
          <t>There is no floor to your sides, so the bed is your tripod platform. It is stable enough for a static shot. Check the legs are not sinking before you roll.</t>
        </is>
      </c>
    </row>
    <row r="29" ht="48" customHeight="1">
      <c r="A29" s="24" t="inlineStr">
        <is>
          <t>In front of you</t>
        </is>
      </c>
      <c r="B29" s="25" t="inlineStr">
        <is>
          <t>NO</t>
        </is>
      </c>
      <c r="C29" s="25" t="inlineStr">
        <is>
          <t>-</t>
        </is>
      </c>
      <c r="D29" s="25" t="inlineStr">
        <is>
          <t>The desk is against the wall. There is nowhere to stand.</t>
        </is>
      </c>
    </row>
    <row r="30" ht="48" customHeight="1">
      <c r="A30" s="24" t="inlineStr">
        <is>
          <t>Far end of walkway</t>
        </is>
      </c>
      <c r="B30" s="25" t="inlineStr">
        <is>
          <t>YES</t>
        </is>
      </c>
      <c r="C30" s="25" t="inlineStr">
        <is>
          <t>E</t>
        </is>
      </c>
      <c r="D30" s="25" t="inlineStr">
        <is>
          <t>Near the window. The only spot far enough back for the very wide shot.</t>
        </is>
      </c>
    </row>
    <row r="32">
      <c r="A32" s="22" t="inlineStr">
        <is>
          <t>Shoot at night — this is the single biggest decision</t>
        </is>
      </c>
    </row>
    <row r="33" ht="60" customHeight="1">
      <c r="A33" s="26" t="inlineStr">
        <is>
          <t>You share this room and there are two beds either side of you. In daylight they are in every wide shot and the reel reads as a bedroom. In darkness they vanish completely and all the viewer sees is a person lit by a screen. That is also the better-looking version. So every camera clip is now in ONE night session, and the lamp does all the beauty/hell switching.</t>
        </is>
      </c>
    </row>
    <row r="35">
      <c r="A35" s="22" t="inlineStr">
        <is>
          <t>Your lamp is the beauty/hell switch</t>
        </is>
      </c>
    </row>
    <row r="36">
      <c r="A36" s="3" t="inlineStr">
        <is>
          <t>Lamp mode</t>
        </is>
      </c>
      <c r="B36" s="3" t="inlineStr">
        <is>
          <t>Use for</t>
        </is>
      </c>
      <c r="C36" s="3" t="inlineStr">
        <is>
          <t>Where to put it</t>
        </is>
      </c>
      <c r="D36" s="3" t="inlineStr">
        <is>
          <t>Why</t>
        </is>
      </c>
    </row>
    <row r="37" ht="44" customHeight="1">
      <c r="A37" s="24" t="inlineStr">
        <is>
          <t>GOLD</t>
        </is>
      </c>
      <c r="B37" s="25" t="inlineStr">
        <is>
          <t>Beauty clips 1, 5, 7, 11</t>
        </is>
      </c>
      <c r="C37" s="25" t="inlineStr">
        <is>
          <t>Close to you, low, on your left. Keep its pool of light off the other bed.</t>
        </is>
      </c>
      <c r="D37" s="25" t="inlineStr">
        <is>
          <t>Warm reads as comfort. Also fights the cold blue of the drawers.</t>
        </is>
      </c>
    </row>
    <row r="38" ht="44" customHeight="1">
      <c r="A38" s="24" t="inlineStr">
        <is>
          <t>WHITE</t>
        </is>
      </c>
      <c r="B38" s="25" t="inlineStr">
        <is>
          <t>Hell clips 2, 6, 12</t>
        </is>
      </c>
      <c r="C38" s="25" t="inlineStr">
        <is>
          <t>Same place, or higher for clip 12</t>
        </is>
      </c>
      <c r="D38" s="25" t="inlineStr">
        <is>
          <t>Cold and clinical. Reads as fluorescent, late, unforgiving.</t>
        </is>
      </c>
    </row>
    <row r="39" ht="44" customHeight="1">
      <c r="A39" s="24" t="inlineStr">
        <is>
          <t>WARM</t>
        </is>
      </c>
      <c r="B39" s="25" t="inlineStr">
        <is>
          <t>Clip 10 only</t>
        </is>
      </c>
      <c r="C39" s="25" t="inlineStr">
        <is>
          <t>LOW and BEHIND you, near the window end</t>
        </is>
      </c>
      <c r="D39" s="25" t="inlineStr">
        <is>
          <t>Creeps in like first light. Replaces needing an actual sunrise.</t>
        </is>
      </c>
    </row>
    <row r="40" ht="44" customHeight="1">
      <c r="A40" s="24" t="inlineStr">
        <is>
          <t>OFF</t>
        </is>
      </c>
      <c r="B40" s="25" t="inlineStr">
        <is>
          <t>Clips 3, 4, 9</t>
        </is>
      </c>
      <c r="C40" s="25" t="inlineStr">
        <is>
          <t>Off completely, room fully dark</t>
        </is>
      </c>
      <c r="D40" s="25" t="inlineStr">
        <is>
          <t>Screen becomes the only light. Erases the whole room for free.</t>
        </is>
      </c>
    </row>
    <row r="41">
      <c r="A41" s="22" t="inlineStr">
        <is>
          <t>The window</t>
        </is>
      </c>
    </row>
    <row r="42" ht="52" customHeight="1">
      <c r="A42" s="26" t="inlineStr">
        <is>
          <t>It sits behind you at the far end of the walkway. You are not using it as a light source — at night it is just a dark rectangle, which is fine. Keep the curtains CLOSED for every clip so passing light and the building opposite do not change between takes. The one exception is clip 12, where a sliver of city light through the gap adds depth.</t>
        </is>
      </c>
    </row>
    <row r="44">
      <c r="A44" s="22" t="inlineStr">
        <is>
          <t>Colours you already have</t>
        </is>
      </c>
    </row>
    <row r="45">
      <c r="A45" s="26" t="inlineStr">
        <is>
          <t>- Grey desk top - neutral. Takes on whatever colour the lamp and screen give it. Ideal.</t>
        </is>
      </c>
    </row>
    <row r="46">
      <c r="A46" s="26" t="inlineStr">
        <is>
          <t>- Blue drawer unit - reads COLD. Free help on every Hell clip. Keep it in frame on those.</t>
        </is>
      </c>
    </row>
    <row r="47">
      <c r="A47" s="26" t="inlineStr">
        <is>
          <t>- Pale sage wall - a clean, plain backdrop. This is genuinely good; do not hang anything on it.</t>
        </is>
      </c>
    </row>
    <row r="48">
      <c r="A48" s="26" t="inlineStr">
        <is>
          <t>- Do NOT wear blue - you will merge into the drawers. Mid-grey, charcoal or black is safest.</t>
        </is>
      </c>
    </row>
  </sheetData>
  <mergeCells count="6">
    <mergeCell ref="A45:D45"/>
    <mergeCell ref="A48:D48"/>
    <mergeCell ref="A33:D33"/>
    <mergeCell ref="A47:D47"/>
    <mergeCell ref="A42:D42"/>
    <mergeCell ref="A46:D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74" customWidth="1" min="2" max="2"/>
  </cols>
  <sheetData>
    <row r="1">
      <c r="A1" s="1" t="inlineStr">
        <is>
          <t>What to clear, what to keep</t>
        </is>
      </c>
    </row>
    <row r="2">
      <c r="A2" s="2" t="inlineStr">
        <is>
          <t>Do not strip the room bare. A room that looks like nobody lives in it kills the whole point of the reel. Clear what reads as untidy, keep what reads as 'someone works here'.</t>
        </is>
      </c>
    </row>
    <row r="4">
      <c r="A4" s="22" t="inlineStr">
        <is>
          <t>Shoot clip 12 FIRST, before you tidy anything</t>
        </is>
      </c>
    </row>
    <row r="5" ht="44" customHeight="1">
      <c r="A5" s="26" t="inlineStr">
        <is>
          <t>Clip 12 is the wide shot of the whole room and its entire content is the mess. If you tidy first you cannot get it back convincingly. Set up Mark E, shoot clip 12, then clean the room and shoot everything else.</t>
        </is>
      </c>
    </row>
    <row r="8">
      <c r="A8" s="3" t="inlineStr">
        <is>
          <t>Clear it</t>
        </is>
      </c>
      <c r="B8" s="3" t="inlineStr">
        <is>
          <t>Why</t>
        </is>
      </c>
    </row>
    <row r="9" ht="34" customHeight="1">
      <c r="A9" s="24" t="inlineStr">
        <is>
          <t>Clothes on bed L</t>
        </is>
      </c>
      <c r="B9" s="25" t="inlineStr">
        <is>
          <t>Reads as laundry, not as work. Nothing else in the frame says 'developer'.</t>
        </is>
      </c>
    </row>
    <row r="10" ht="34" customHeight="1">
      <c r="A10" s="24" t="inlineStr">
        <is>
          <t>The plastic bag on the bed</t>
        </is>
      </c>
      <c r="B10" s="25" t="inlineStr">
        <is>
          <t>Catches the light and pulls the eye straight to it.</t>
        </is>
      </c>
    </row>
    <row r="11" ht="34" customHeight="1">
      <c r="A11" s="24" t="inlineStr">
        <is>
          <t>The blanket over the chair back</t>
        </is>
      </c>
      <c r="B11" s="25" t="inlineStr">
        <is>
          <t>Take it off for every clip except 12. It softens your silhouette in 9 and 10.</t>
        </is>
      </c>
    </row>
    <row r="12" ht="34" customHeight="1">
      <c r="A12" s="24" t="inlineStr">
        <is>
          <t>Anything on the desk you cannot name</t>
        </is>
      </c>
      <c r="B12" s="25" t="inlineStr">
        <is>
          <t>If you would not describe it as part of your setup, it should not be there.</t>
        </is>
      </c>
    </row>
    <row r="13" ht="34" customHeight="1">
      <c r="A13" s="24" t="inlineStr">
        <is>
          <t>Backpacks on both beds</t>
        </is>
      </c>
      <c r="B13" s="25" t="inlineStr">
        <is>
          <t>Only matters for clip 12. Leave them for that, remove after.</t>
        </is>
      </c>
    </row>
    <row r="15">
      <c r="A15" s="3" t="inlineStr">
        <is>
          <t>Keep it</t>
        </is>
      </c>
      <c r="B15" s="3" t="inlineStr">
        <is>
          <t>Why</t>
        </is>
      </c>
    </row>
    <row r="16" ht="34" customHeight="1">
      <c r="A16" s="24" t="inlineStr">
        <is>
          <t>The second closed laptop</t>
        </is>
      </c>
      <c r="B16" s="25" t="inlineStr">
        <is>
          <t>Two machines reads as 'this person builds things'.</t>
        </is>
      </c>
    </row>
    <row r="17" ht="34" customHeight="1">
      <c r="A17" s="24" t="inlineStr">
        <is>
          <t>Cables and the charger</t>
        </is>
      </c>
      <c r="B17" s="25" t="inlineStr">
        <is>
          <t>Real setups have cables. Removing them looks staged.</t>
        </is>
      </c>
    </row>
    <row r="18" ht="34" customHeight="1">
      <c r="A18" s="24" t="inlineStr">
        <is>
          <t>The notebooks and pencil case</t>
        </is>
      </c>
      <c r="B18" s="25" t="inlineStr">
        <is>
          <t>Texture, and they say the work is not only on screen.</t>
        </is>
      </c>
    </row>
    <row r="19" ht="34" customHeight="1">
      <c r="A19" s="24" t="inlineStr">
        <is>
          <t>The water bottle</t>
        </is>
      </c>
      <c r="B19" s="25" t="inlineStr">
        <is>
          <t>Your prop in clip 1 — you set it down as you sit.</t>
        </is>
      </c>
    </row>
    <row r="20" ht="34" customHeight="1">
      <c r="A20" s="24" t="inlineStr">
        <is>
          <t>The wall sockets behind the laptop</t>
        </is>
      </c>
      <c r="B20" s="25" t="inlineStr">
        <is>
          <t>Nothing wrong with them. Do not try to hide them.</t>
        </is>
      </c>
    </row>
    <row r="21">
      <c r="A21" s="22" t="inlineStr">
        <is>
          <t>One thing worth saying</t>
        </is>
      </c>
    </row>
    <row r="22" ht="64" customHeight="1">
      <c r="A22" s="26" t="inlineStr">
        <is>
          <t>A shared bedroom with two beds and a drawer unit for a desk IS the story. Most developer content is filmed at a spotless desk with three monitors and a plant, and it is all faintly unbelievable. Building a self-hosted AI assistant from the middle of a room like this is a better version of the same reel — as long as it is intentional rather than accidental. That is all the tidying is for.</t>
        </is>
      </c>
    </row>
  </sheetData>
  <mergeCells count="2">
    <mergeCell ref="A5:D5"/>
    <mergeCell ref="A22:B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7" customWidth="1" min="1" max="1"/>
    <col width="34" customWidth="1" min="2" max="2"/>
    <col width="22" customWidth="1" min="3" max="3"/>
    <col width="12" customWidth="1" min="4" max="4"/>
    <col width="54" customWidth="1" min="5" max="5"/>
  </cols>
  <sheetData>
    <row r="1">
      <c r="A1" s="1" t="inlineStr">
        <is>
          <t>Five marks — set once on Monday, never move them</t>
        </is>
      </c>
    </row>
    <row r="2">
      <c r="A2" s="2" t="inlineStr">
        <is>
          <t>Three live in the walkway behind you. Two stand on bed R, because there is no floor to your sides. Tape the floor and write the letter on the tape.</t>
        </is>
      </c>
    </row>
    <row r="4">
      <c r="A4" s="3" t="inlineStr">
        <is>
          <t>Mark</t>
        </is>
      </c>
      <c r="B4" s="3" t="inlineStr">
        <is>
          <t>Where exactly</t>
        </is>
      </c>
      <c r="C4" s="3" t="inlineStr">
        <is>
          <t>Height</t>
        </is>
      </c>
      <c r="D4" s="3" t="inlineStr">
        <is>
          <t>Clips</t>
        </is>
      </c>
      <c r="E4" s="3" t="inlineStr">
        <is>
          <t>Must match exactly</t>
        </is>
      </c>
    </row>
    <row r="5" ht="52" customHeight="1">
      <c r="A5" s="24" t="inlineStr">
        <is>
          <t>A</t>
        </is>
      </c>
      <c r="B5" s="25" t="inlineStr">
        <is>
          <t>Walkway, directly behind your chair</t>
        </is>
      </c>
      <c r="C5" s="25" t="inlineStr">
        <is>
          <t>~1.7m, tilted DOWN</t>
        </is>
      </c>
      <c r="D5" s="25" t="inlineStr">
        <is>
          <t>1, 2, 9, 10</t>
        </is>
      </c>
      <c r="E5" s="25" t="inlineStr">
        <is>
          <t>Four clips share this. Clips 9 and 10 are the same frame minutes apart — this mark carries the reel. Tilt down enough to lose both beds.</t>
        </is>
      </c>
    </row>
    <row r="6" ht="52" customHeight="1">
      <c r="A6" s="24" t="inlineStr">
        <is>
          <t>B</t>
        </is>
      </c>
      <c r="B6" s="25" t="inlineStr">
        <is>
          <t>Standing on BED R, close to you</t>
        </is>
      </c>
      <c r="C6" s="25" t="inlineStr">
        <is>
          <t>~1.5m (eye height)</t>
        </is>
      </c>
      <c r="D6" s="25" t="inlineStr">
        <is>
          <t>3, 4, 11</t>
        </is>
      </c>
      <c r="E6" s="25" t="inlineStr">
        <is>
          <t>Clips 3 and 4 differ ONLY in screen colour. Moving between them kills the best cut in the edit. Mark where the legs sit on the mattress.</t>
        </is>
      </c>
    </row>
    <row r="7" ht="52" customHeight="1">
      <c r="A7" s="24" t="inlineStr">
        <is>
          <t>C</t>
        </is>
      </c>
      <c r="B7" s="25" t="inlineStr">
        <is>
          <t>On BED R, further back</t>
        </is>
      </c>
      <c r="C7" s="25" t="inlineStr">
        <is>
          <t>~1.2m (chest)</t>
        </is>
      </c>
      <c r="D7" s="25" t="inlineStr">
        <is>
          <t>5, 6</t>
        </is>
      </c>
      <c r="E7" s="25" t="inlineStr">
        <is>
          <t>Clip 6 starts in clip 5's ending pose. Same chair position both times.</t>
        </is>
      </c>
    </row>
    <row r="8" ht="52" customHeight="1">
      <c r="A8" s="24" t="inlineStr">
        <is>
          <t>D</t>
        </is>
      </c>
      <c r="B8" s="25" t="inlineStr">
        <is>
          <t>Walkway, close, over your shoulder</t>
        </is>
      </c>
      <c r="C8" s="25" t="inlineStr">
        <is>
          <t>~1.6m, angled down</t>
        </is>
      </c>
      <c r="D8" s="25" t="inlineStr">
        <is>
          <t>7</t>
        </is>
      </c>
      <c r="E8" s="25" t="inlineStr">
        <is>
          <t>Turn slightly off-square to the screen so it does not band.</t>
        </is>
      </c>
    </row>
    <row r="9" ht="52" customHeight="1">
      <c r="A9" s="24" t="inlineStr">
        <is>
          <t>E</t>
        </is>
      </c>
      <c r="B9" s="25" t="inlineStr">
        <is>
          <t>Walkway, far end near the window</t>
        </is>
      </c>
      <c r="C9" s="25" t="inlineStr">
        <is>
          <t>~1.8m, angled down</t>
        </is>
      </c>
      <c r="D9" s="25" t="inlineStr">
        <is>
          <t>12</t>
        </is>
      </c>
      <c r="E9" s="25" t="inlineStr">
        <is>
          <t>The only shot where both beds SHOULD be in frame.</t>
        </is>
      </c>
    </row>
    <row r="11">
      <c r="A11" s="22" t="inlineStr">
        <is>
          <t>Monday setup — 30 minutes, no shooting</t>
        </is>
      </c>
    </row>
    <row r="12">
      <c r="A12" s="26" t="inlineStr">
        <is>
          <t>1. Unbox. Extend the legs fully once and check the head holds your phone without drooping.</t>
        </is>
      </c>
    </row>
    <row r="13">
      <c r="A13" s="26" t="inlineStr">
        <is>
          <t>2. Check the mount grips the phone VERTICALLY. Many only hold landscape properly.</t>
        </is>
      </c>
    </row>
    <row r="14">
      <c r="A14" s="26" t="inlineStr">
        <is>
          <t>3. Set marks A, D and E in the walkway. Tape the floor under each leg, letter written on the tape.</t>
        </is>
      </c>
    </row>
    <row r="15">
      <c r="A15" s="26" t="inlineStr">
        <is>
          <t>4. For B and C, stand the tripod on bed R and mark the mattress positions with something you can find again.</t>
        </is>
      </c>
    </row>
    <row r="16">
      <c r="A16" s="26" t="inlineStr">
        <is>
          <t>5. Photograph each framing FROM the phone. That photo is how you rebuild the mark later.</t>
        </is>
      </c>
    </row>
    <row r="17">
      <c r="A17" s="26" t="inlineStr">
        <is>
          <t>6. At Mark A, tilt down until both beds are out of frame. Note that tilt angle — it is the whole trick.</t>
        </is>
      </c>
    </row>
    <row r="18">
      <c r="A18" s="26" t="inlineStr">
        <is>
          <t>7. Test the lamp in gold, warm and white at Mark A so you know what each looks like on camera.</t>
        </is>
      </c>
    </row>
    <row r="19">
      <c r="A19" s="26" t="inlineStr">
        <is>
          <t>8. Test at Mark B: fill the screen green, then red, and check your face actually lights up.</t>
        </is>
      </c>
    </row>
  </sheetData>
  <mergeCells count="8">
    <mergeCell ref="A12:E12"/>
    <mergeCell ref="A16:E16"/>
    <mergeCell ref="A15:E15"/>
    <mergeCell ref="A19:E19"/>
    <mergeCell ref="A13:E13"/>
    <mergeCell ref="A14:E14"/>
    <mergeCell ref="A17:E17"/>
    <mergeCell ref="A18:E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7" customWidth="1" min="1" max="1"/>
    <col width="11" customWidth="1" min="2" max="2"/>
    <col width="34" customWidth="1" min="3" max="3"/>
    <col width="12" customWidth="1" min="4" max="4"/>
    <col width="26" customWidth="1" min="5" max="5"/>
    <col width="52" customWidth="1" min="6" max="6"/>
  </cols>
  <sheetData>
    <row r="1">
      <c r="A1" s="1" t="inlineStr">
        <is>
          <t>Week of Mon 17 Aug — tripod arrives Monday</t>
        </is>
      </c>
    </row>
    <row r="2">
      <c r="A2" s="2" t="inlineStr">
        <is>
          <t>Because darkness hides the room and the lamp does the lighting, all 11 camera clips now fit in a single night session.</t>
        </is>
      </c>
    </row>
    <row r="4">
      <c r="A4" s="3" t="inlineStr">
        <is>
          <t>Day</t>
        </is>
      </c>
      <c r="B4" s="3" t="inlineStr">
        <is>
          <t>Date</t>
        </is>
      </c>
      <c r="C4" s="3" t="inlineStr">
        <is>
          <t>What</t>
        </is>
      </c>
      <c r="D4" s="3" t="inlineStr">
        <is>
          <t>Time</t>
        </is>
      </c>
      <c r="E4" s="3" t="inlineStr">
        <is>
          <t>Clips</t>
        </is>
      </c>
      <c r="F4" s="3" t="inlineStr">
        <is>
          <t>Notes</t>
        </is>
      </c>
    </row>
    <row r="5" ht="40" customHeight="1">
      <c r="A5" s="24" t="inlineStr">
        <is>
          <t>Mon</t>
        </is>
      </c>
      <c r="B5" s="25" t="inlineStr">
        <is>
          <t>17 Aug</t>
        </is>
      </c>
      <c r="C5" s="25" t="inlineStr">
        <is>
          <t>Tripod arrives — SETUP ONLY</t>
        </is>
      </c>
      <c r="D5" s="25" t="inlineStr">
        <is>
          <t>30 min</t>
        </is>
      </c>
      <c r="E5" s="25" t="inlineStr">
        <is>
          <t>none</t>
        </is>
      </c>
      <c r="F5" s="25" t="inlineStr">
        <is>
          <t>Set the 5 marks, tape the floor, photograph every framing. Shoot nothing today.</t>
        </is>
      </c>
    </row>
    <row r="6" ht="40" customHeight="1">
      <c r="A6" s="24" t="inlineStr">
        <is>
          <t>Tue</t>
        </is>
      </c>
      <c r="B6" s="25" t="inlineStr">
        <is>
          <t>18 Aug</t>
        </is>
      </c>
      <c r="C6" s="25" t="inlineStr">
        <is>
          <t>Shoot clip 12, THEN tidy</t>
        </is>
      </c>
      <c r="D6" s="25" t="inlineStr">
        <is>
          <t>20 min</t>
        </is>
      </c>
      <c r="E6" s="25" t="inlineStr">
        <is>
          <t>12</t>
        </is>
      </c>
      <c r="F6" s="25" t="inlineStr">
        <is>
          <t>The wide room shot must happen before you clean. See Frame Control.</t>
        </is>
      </c>
    </row>
    <row r="7" ht="40" customHeight="1">
      <c r="A7" s="24" t="inlineStr">
        <is>
          <t>Tue</t>
        </is>
      </c>
      <c r="B7" s="25" t="inlineStr">
        <is>
          <t>18 Aug</t>
        </is>
      </c>
      <c r="C7" s="25" t="inlineStr">
        <is>
          <t>S1 — Night session (all camera)</t>
        </is>
      </c>
      <c r="D7" s="25" t="inlineStr">
        <is>
          <t>75 min</t>
        </is>
      </c>
      <c r="E7" s="25" t="inlineStr">
        <is>
          <t>11, 3, 4, 1, 2, 5, 6, 7, 9, 10</t>
        </is>
      </c>
      <c r="F7" s="25" t="inlineStr">
        <is>
          <t>Clip 11 FIRST for a genuine reaction. Then 9 and 10 back to back, lamp change only.</t>
        </is>
      </c>
    </row>
    <row r="8" ht="40" customHeight="1">
      <c r="A8" s="24" t="inlineStr">
        <is>
          <t>Wed</t>
        </is>
      </c>
      <c r="B8" s="25" t="inlineStr">
        <is>
          <t>19 Aug</t>
        </is>
      </c>
      <c r="C8" s="25" t="inlineStr">
        <is>
          <t>S2 — Screen recordings</t>
        </is>
      </c>
      <c r="D8" s="25" t="inlineStr">
        <is>
          <t>20 min</t>
        </is>
      </c>
      <c r="E8" s="25" t="inlineStr">
        <is>
          <t>8, 13</t>
        </is>
      </c>
      <c r="F8" s="25" t="inlineStr">
        <is>
          <t>Sitting down, no camera, no setup. Spare day if Tuesday overran.</t>
        </is>
      </c>
    </row>
    <row r="9" ht="40" customHeight="1">
      <c r="A9" s="24" t="inlineStr">
        <is>
          <t>Thu</t>
        </is>
      </c>
      <c r="B9" s="25" t="inlineStr">
        <is>
          <t>20 Aug</t>
        </is>
      </c>
      <c r="C9" s="25" t="inlineStr">
        <is>
          <t>Edit</t>
        </is>
      </c>
      <c r="D9" s="25" t="inlineStr">
        <is>
          <t>2-3 hrs</t>
        </is>
      </c>
      <c r="E9" s="25" t="inlineStr">
        <is>
          <t>all</t>
        </is>
      </c>
      <c r="F9" s="25" t="inlineStr">
        <is>
          <t>First edit always takes longer. Follow the Editing Walkthrough sheet.</t>
        </is>
      </c>
    </row>
    <row r="10" ht="40" customHeight="1">
      <c r="A10" s="24" t="inlineStr">
        <is>
          <t>Fri</t>
        </is>
      </c>
      <c r="B10" s="25" t="inlineStr">
        <is>
          <t>21 Aug</t>
        </is>
      </c>
      <c r="C10" s="25" t="inlineStr">
        <is>
          <t>POST — 6:30-8:00pm IST</t>
        </is>
      </c>
      <c r="D10" s="25" t="inlineStr">
        <is>
          <t>10 min</t>
        </is>
      </c>
      <c r="E10" s="25" t="inlineStr">
        <is>
          <t>-</t>
        </is>
      </c>
      <c r="F10" s="25" t="inlineStr">
        <is>
          <t>Your peak window. Push it in your story within two hours.</t>
        </is>
      </c>
    </row>
    <row r="12">
      <c r="A12" s="22" t="inlineStr">
        <is>
          <t>Shooting order inside the night session</t>
        </is>
      </c>
    </row>
    <row r="13">
      <c r="A13" s="26" t="inlineStr">
        <is>
          <t>- 11 first — your genuine first reaction to the demo is only available once.</t>
        </is>
      </c>
    </row>
    <row r="14">
      <c r="A14" s="26" t="inlineStr">
        <is>
          <t>- Then 3 and 4 — same mark on bed R, only the screen colour changes. Do not move between them.</t>
        </is>
      </c>
    </row>
    <row r="15">
      <c r="A15" s="26" t="inlineStr">
        <is>
          <t>- Then 5 and 6 — move the tripod back on bed R. Clip 6 starts where clip 5 ended.</t>
        </is>
      </c>
    </row>
    <row r="16">
      <c r="A16" s="26" t="inlineStr">
        <is>
          <t>- Then 1, 2 — into the walkway at Mark A. Lamp gold, then white.</t>
        </is>
      </c>
    </row>
    <row r="17">
      <c r="A17" s="26" t="inlineStr">
        <is>
          <t>- Then 9, 10 — same Mark A, lamp off then warm. Back to back, nothing moves.</t>
        </is>
      </c>
    </row>
    <row r="18">
      <c r="A18" s="26" t="inlineStr">
        <is>
          <t>- Then 7 — Mark D, over your shoulder. Quickest one, good to finish on.</t>
        </is>
      </c>
    </row>
    <row r="20">
      <c r="A20" s="22" t="inlineStr">
        <is>
          <t>If the tripod is late</t>
        </is>
      </c>
    </row>
    <row r="21" ht="44" customHeight="1">
      <c r="A21" s="26" t="inlineStr">
        <is>
          <t>Shoot clips 8 and 13 anyway — they need no camera at all. Then slide the night session to Wednesday and post Saturday. Do not shoot the pairs handheld: 1/2, 3/4, 5/6 and 9/10 only work if the frame is identical, and hands cannot do that.</t>
        </is>
      </c>
    </row>
  </sheetData>
  <mergeCells count="7">
    <mergeCell ref="A16:F16"/>
    <mergeCell ref="A13:F13"/>
    <mergeCell ref="A14:F14"/>
    <mergeCell ref="A17:F17"/>
    <mergeCell ref="A18:F18"/>
    <mergeCell ref="A21:F2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4" customWidth="1" min="1" max="1"/>
    <col width="11" customWidth="1" min="2" max="2"/>
    <col width="18" customWidth="1" min="3" max="3"/>
    <col width="58" customWidth="1" min="4" max="4"/>
  </cols>
  <sheetData>
    <row r="1">
      <c r="A1" s="1" t="inlineStr">
        <is>
          <t>Gear</t>
        </is>
      </c>
    </row>
    <row r="2">
      <c r="A2" s="2" t="inlineStr">
        <is>
          <t>Short list — the tripod and the lamp cover almost everything.</t>
        </is>
      </c>
    </row>
    <row r="4">
      <c r="A4" s="3" t="inlineStr">
        <is>
          <t>Item</t>
        </is>
      </c>
      <c r="B4" s="3" t="inlineStr">
        <is>
          <t>Have it?</t>
        </is>
      </c>
      <c r="C4" s="3" t="inlineStr">
        <is>
          <t>Used for</t>
        </is>
      </c>
      <c r="D4" s="3" t="inlineStr">
        <is>
          <t>Note</t>
        </is>
      </c>
    </row>
    <row r="5" ht="30" customHeight="1">
      <c r="A5" s="24" t="inlineStr">
        <is>
          <t>Tripod + phone mount</t>
        </is>
      </c>
      <c r="B5" s="25" t="inlineStr">
        <is>
          <t>Mon 17th</t>
        </is>
      </c>
      <c r="C5" s="25" t="inlineStr">
        <is>
          <t>11 of 13 clips</t>
        </is>
      </c>
      <c r="D5" s="25" t="inlineStr">
        <is>
          <t>Check on Monday that it grips the phone VERTICALLY.</t>
        </is>
      </c>
    </row>
    <row r="6" ht="30" customHeight="1">
      <c r="A6" s="24" t="inlineStr">
        <is>
          <t>Your phone</t>
        </is>
      </c>
      <c r="B6" s="25" t="inlineStr">
        <is>
          <t>yes</t>
        </is>
      </c>
      <c r="C6" s="25" t="inlineStr">
        <is>
          <t>Camera</t>
        </is>
      </c>
      <c r="D6" s="25" t="inlineStr">
        <is>
          <t>Shoot 9:16 natively. Never crop from landscape.</t>
        </is>
      </c>
    </row>
    <row r="7" ht="30" customHeight="1">
      <c r="A7" s="24" t="inlineStr">
        <is>
          <t>3-mode desk lamp</t>
        </is>
      </c>
      <c r="B7" s="25" t="inlineStr">
        <is>
          <t>yes</t>
        </is>
      </c>
      <c r="C7" s="25" t="inlineStr">
        <is>
          <t>All the lighting</t>
        </is>
      </c>
      <c r="D7" s="25" t="inlineStr">
        <is>
          <t>Gold = Beauty. White = Hell. Warm = clip 10. Off = clips 3, 4, 9.</t>
        </is>
      </c>
    </row>
    <row r="8" ht="30" customHeight="1">
      <c r="A8" s="24" t="inlineStr">
        <is>
          <t>Masking tape</t>
        </is>
      </c>
      <c r="B8" s="25" t="inlineStr"/>
      <c r="C8" s="25" t="inlineStr">
        <is>
          <t>Floor marks</t>
        </is>
      </c>
      <c r="D8" s="25" t="inlineStr">
        <is>
          <t>Marks A, D, E on the floor. B and C on bed R.</t>
        </is>
      </c>
    </row>
    <row r="9" ht="30" customHeight="1">
      <c r="A9" s="24" t="inlineStr">
        <is>
          <t>Headphones</t>
        </is>
      </c>
      <c r="B9" s="25" t="inlineStr">
        <is>
          <t>yes</t>
        </is>
      </c>
      <c r="C9" s="25" t="inlineStr">
        <is>
          <t>Clips 9, 10</t>
        </is>
      </c>
      <c r="D9" s="25" t="inlineStr">
        <is>
          <t>Over-ear reads far better in silhouette than buds.</t>
        </is>
      </c>
    </row>
    <row r="10" ht="30" customHeight="1">
      <c r="A10" s="24" t="inlineStr">
        <is>
          <t>Water bottle</t>
        </is>
      </c>
      <c r="B10" s="25" t="inlineStr">
        <is>
          <t>yes</t>
        </is>
      </c>
      <c r="C10" s="25" t="inlineStr">
        <is>
          <t>Clip 1</t>
        </is>
      </c>
      <c r="D10" s="25" t="inlineStr">
        <is>
          <t>Your prop — you set it down as you sit.</t>
        </is>
      </c>
    </row>
    <row r="11" ht="30" customHeight="1">
      <c r="A11" s="24" t="inlineStr">
        <is>
          <t>Your t-shirt</t>
        </is>
      </c>
      <c r="B11" s="25" t="inlineStr">
        <is>
          <t>yes</t>
        </is>
      </c>
      <c r="C11" s="25" t="inlineStr">
        <is>
          <t>Lens cloth</t>
        </is>
      </c>
      <c r="D11" s="25" t="inlineStr">
        <is>
          <t>Biggest free quality jump there is.</t>
        </is>
      </c>
    </row>
    <row r="12" ht="30" customHeight="1">
      <c r="A12" s="24" t="inlineStr">
        <is>
          <t>Wired earbuds</t>
        </is>
      </c>
      <c r="B12" s="25" t="inlineStr"/>
      <c r="C12" s="25" t="inlineStr">
        <is>
          <t>Shutter remote</t>
        </is>
      </c>
      <c r="D12" s="25" t="inlineStr">
        <is>
          <t>Volume button fires the shutter — useful since you are in almost every frame.</t>
        </is>
      </c>
    </row>
    <row r="13" ht="30" customHeight="1">
      <c r="A13" s="24" t="inlineStr">
        <is>
          <t>VN Video Editor</t>
        </is>
      </c>
      <c r="B13" s="25" t="inlineStr"/>
      <c r="C13" s="25" t="inlineStr">
        <is>
          <t>The edit</t>
        </is>
      </c>
      <c r="D13" s="25" t="inlineStr">
        <is>
          <t>Free, no watermark. See Editing Walkthrough.</t>
        </is>
      </c>
    </row>
    <row r="15">
      <c r="A15" s="22" t="inlineStr">
        <is>
          <t>Wardrobe</t>
        </is>
      </c>
    </row>
    <row r="16">
      <c r="A16" s="26" t="inlineStr">
        <is>
          <t>- Same clothes for every clip. The pairs are meant to be the same day.</t>
        </is>
      </c>
    </row>
    <row r="17">
      <c r="A17" s="26" t="inlineStr">
        <is>
          <t>- No blue — your drawer unit is blue and you will merge into it.</t>
        </is>
      </c>
    </row>
    <row r="18">
      <c r="A18" s="26" t="inlineStr">
        <is>
          <t>- No pure white — it blows out in a dark room and drags the eye off your face.</t>
        </is>
      </c>
    </row>
    <row r="19">
      <c r="A19" s="26" t="inlineStr">
        <is>
          <t>- Mid-grey, charcoal or black is safest against a pale wall and a grey desk.</t>
        </is>
      </c>
    </row>
  </sheetData>
  <mergeCells count="4">
    <mergeCell ref="A19:D19"/>
    <mergeCell ref="A17:D17"/>
    <mergeCell ref="A18:D18"/>
    <mergeCell ref="A16:D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5" customWidth="1" min="1" max="1"/>
    <col width="30" customWidth="1" min="2" max="2"/>
    <col width="44" customWidth="1" min="3" max="3"/>
    <col width="50" customWidth="1" min="4" max="4"/>
  </cols>
  <sheetData>
    <row r="1">
      <c r="A1" s="1" t="inlineStr">
        <is>
          <t>Set these once at the start of the session</t>
        </is>
      </c>
    </row>
    <row r="2">
      <c r="A2" s="2" t="inlineStr">
        <is>
          <t>These matter more on a tripod, not less — a static frame shows every wobble.</t>
        </is>
      </c>
    </row>
    <row r="4">
      <c r="A4" s="3" t="inlineStr">
        <is>
          <t>#</t>
        </is>
      </c>
      <c r="B4" s="3" t="inlineStr">
        <is>
          <t>Do this</t>
        </is>
      </c>
      <c r="C4" s="3" t="inlineStr">
        <is>
          <t>How</t>
        </is>
      </c>
      <c r="D4" s="3" t="inlineStr">
        <is>
          <t>What goes wrong without it</t>
        </is>
      </c>
    </row>
    <row r="5" ht="32" customHeight="1">
      <c r="A5" s="25" t="n">
        <v>1</v>
      </c>
      <c r="B5" s="24" t="inlineStr">
        <is>
          <t>Clean the lens</t>
        </is>
      </c>
      <c r="C5" s="25" t="inlineStr">
        <is>
          <t>Wipe before you start</t>
        </is>
      </c>
      <c r="D5" s="25" t="inlineStr">
        <is>
          <t>Haze and glare you cannot fix later</t>
        </is>
      </c>
    </row>
    <row r="6" ht="32" customHeight="1">
      <c r="A6" s="25" t="n">
        <v>2</v>
      </c>
      <c r="B6" s="24" t="inlineStr">
        <is>
          <t>Lock focus and exposure</t>
        </is>
      </c>
      <c r="C6" s="25" t="inlineStr">
        <is>
          <t>Tap and hold your face until AE/AF LOCK shows</t>
        </is>
      </c>
      <c r="D6" s="25" t="inlineStr">
        <is>
          <t>In a dark room the camera hunts constantly — very visible on a static shot</t>
        </is>
      </c>
    </row>
    <row r="7" ht="32" customHeight="1">
      <c r="A7" s="25" t="n">
        <v>3</v>
      </c>
      <c r="B7" s="24" t="inlineStr">
        <is>
          <t>Lock white balance</t>
        </is>
      </c>
      <c r="C7" s="25" t="inlineStr">
        <is>
          <t>Pro / Manual mode if your camera app has it</t>
        </is>
      </c>
      <c r="D7" s="25" t="inlineStr">
        <is>
          <t>Clips 3 and 4 shift colour and stop reading as a pair</t>
        </is>
      </c>
    </row>
    <row r="8" ht="32" customHeight="1">
      <c r="A8" s="25" t="n">
        <v>4</v>
      </c>
      <c r="B8" s="24" t="inlineStr">
        <is>
          <t>Do NOT let it go fully dark</t>
        </is>
      </c>
      <c r="C8" s="25" t="inlineStr">
        <is>
          <t>Keep some light on your face</t>
        </is>
      </c>
      <c r="D8" s="25" t="inlineStr">
        <is>
          <t>Phone cameras get very noisy in low light. Screen light is enough; total black is not</t>
        </is>
      </c>
    </row>
    <row r="9" ht="32" customHeight="1">
      <c r="A9" s="25" t="n">
        <v>5</v>
      </c>
      <c r="B9" s="24" t="inlineStr">
        <is>
          <t>Shoot 8-10s per clip</t>
        </is>
      </c>
      <c r="C9" s="25" t="inlineStr">
        <is>
          <t>Even though you only need 2s</t>
        </is>
      </c>
      <c r="D9" s="25" t="inlineStr">
        <is>
          <t>No slack to cut on the beat and no choice of take</t>
        </is>
      </c>
    </row>
    <row r="10" ht="32" customHeight="1">
      <c r="A10" s="25" t="n">
        <v>6</v>
      </c>
      <c r="B10" s="24" t="inlineStr">
        <is>
          <t>Three takes of everything</t>
        </is>
      </c>
      <c r="C10" s="25" t="inlineStr">
        <is>
          <t>Same setup, just roll again</t>
        </is>
      </c>
      <c r="D10" s="25" t="inlineStr">
        <is>
          <t>The third take is always the natural one</t>
        </is>
      </c>
    </row>
    <row r="11" ht="32" customHeight="1">
      <c r="A11" s="25" t="n">
        <v>7</v>
      </c>
      <c r="B11" s="24" t="inlineStr">
        <is>
          <t>Never digital zoom</t>
        </is>
      </c>
      <c r="C11" s="25" t="inlineStr">
        <is>
          <t>Move the tripod instead</t>
        </is>
      </c>
      <c r="D11" s="25" t="inlineStr">
        <is>
          <t>Zoom is cropping — soft, mushy footage</t>
        </is>
      </c>
    </row>
    <row r="12" ht="32" customHeight="1">
      <c r="A12" s="25" t="n">
        <v>8</v>
      </c>
      <c r="B12" s="24" t="inlineStr">
        <is>
          <t>Shoot vertical natively</t>
        </is>
      </c>
      <c r="C12" s="25" t="inlineStr">
        <is>
          <t>9:16 from the start</t>
        </is>
      </c>
      <c r="D12" s="25" t="inlineStr">
        <is>
          <t>Cropping landscape throws away most of your resolution</t>
        </is>
      </c>
    </row>
    <row r="13" ht="32" customHeight="1">
      <c r="A13" s="25" t="n">
        <v>9</v>
      </c>
      <c r="B13" s="24" t="inlineStr">
        <is>
          <t>Do Not Disturb on</t>
        </is>
      </c>
      <c r="C13" s="25" t="inlineStr">
        <is>
          <t>Before every take</t>
        </is>
      </c>
      <c r="D13" s="25" t="inlineStr">
        <is>
          <t>One notification banner and you reshoot</t>
        </is>
      </c>
    </row>
    <row r="14" ht="32" customHeight="1">
      <c r="A14" s="25" t="n">
        <v>10</v>
      </c>
      <c r="B14" s="24" t="inlineStr">
        <is>
          <t>Lock laptop brightness</t>
        </is>
      </c>
      <c r="C14" s="25" t="inlineStr">
        <is>
          <t>Turn off auto-brightness</t>
        </is>
      </c>
      <c r="D14" s="25" t="inlineStr">
        <is>
          <t>Your key light changes mid-shot — fatal for clips 3, 4, 9</t>
        </is>
      </c>
    </row>
    <row r="15" ht="32" customHeight="1">
      <c r="A15" s="25" t="n">
        <v>11</v>
      </c>
      <c r="B15" s="24" t="inlineStr">
        <is>
          <t>Check the frame edges</t>
        </is>
      </c>
      <c r="C15" s="25" t="inlineStr">
        <is>
          <t>Before every take at Mark A</t>
        </is>
      </c>
      <c r="D15" s="25" t="inlineStr">
        <is>
          <t>A corner of a bed creeping in is the easiest mistake to make in this room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0" customWidth="1" min="1" max="1"/>
    <col width="5" customWidth="1" min="2" max="2"/>
    <col width="34" customWidth="1" min="3" max="3"/>
    <col width="82" customWidth="1" min="4" max="4"/>
  </cols>
  <sheetData>
    <row r="1">
      <c r="A1" s="1" t="inlineStr">
        <is>
          <t>Editing, from zero — Thursday 20 Aug</t>
        </is>
      </c>
    </row>
    <row r="2">
      <c r="A2" s="2" t="inlineStr">
        <is>
          <t>Written assuming you have never edited anything. Tick each row as you go. Budget 2-3 hours for this first one — the second takes about 40 minutes.</t>
        </is>
      </c>
    </row>
    <row r="4">
      <c r="A4" s="3" t="inlineStr">
        <is>
          <t>Done</t>
        </is>
      </c>
      <c r="B4" s="3" t="inlineStr">
        <is>
          <t>#</t>
        </is>
      </c>
      <c r="C4" s="3" t="inlineStr">
        <is>
          <t>Step</t>
        </is>
      </c>
      <c r="D4" s="3" t="inlineStr">
        <is>
          <t>Exactly what to do</t>
        </is>
      </c>
    </row>
    <row r="5" ht="20" customHeight="1">
      <c r="A5" s="27" t="inlineStr">
        <is>
          <t>BEFORE YOU START</t>
        </is>
      </c>
    </row>
    <row r="6" ht="42" customHeight="1">
      <c r="A6" s="28" t="inlineStr"/>
      <c r="B6" s="29" t="n">
        <v>1</v>
      </c>
      <c r="C6" s="24" t="inlineStr">
        <is>
          <t>Install VN Video Editor</t>
        </is>
      </c>
      <c r="D6" s="25" t="inlineStr">
        <is>
          <t>Play Store / App Store, search 'VN Video Editor'. Free, and no watermark on export. NOTE: CapCut is what most tutorials use, but it is not available in India — VN is the equivalent and works everywhere.</t>
        </is>
      </c>
    </row>
    <row r="7" ht="42" customHeight="1">
      <c r="A7" s="28" t="inlineStr"/>
      <c r="B7" s="29" t="n">
        <v>2</v>
      </c>
      <c r="C7" s="24" t="inlineStr">
        <is>
          <t>Save the song to your phone</t>
        </is>
      </c>
      <c r="D7" s="25" t="inlineStr">
        <is>
          <t>Find the 'Pretty Little Baby' bass/sped-up remix you want and save the audio to your device. You need it inside the editor to cut against, even though the final reel uses Instagram's copy.</t>
        </is>
      </c>
    </row>
    <row r="8" ht="42" customHeight="1">
      <c r="A8" s="28" t="inlineStr"/>
      <c r="B8" s="29" t="n">
        <v>3</v>
      </c>
      <c r="C8" s="24" t="inlineStr">
        <is>
          <t>Note where your reel starts in the song</t>
        </is>
      </c>
      <c r="D8" s="25" t="inlineStr">
        <is>
          <t>Play it and write down the timestamp you want to open on — for example 0:12. You need this exact number again at step 25.</t>
        </is>
      </c>
    </row>
    <row r="9" ht="20" customHeight="1">
      <c r="A9" s="27" t="inlineStr">
        <is>
          <t>SORT YOUR FOOTAGE</t>
        </is>
      </c>
    </row>
    <row r="10" ht="42" customHeight="1">
      <c r="A10" s="28" t="inlineStr"/>
      <c r="B10" s="29" t="n">
        <v>4</v>
      </c>
      <c r="C10" s="24" t="inlineStr">
        <is>
          <t>Sort your clips BEFORE opening the editor</t>
        </is>
      </c>
      <c r="D10" s="25" t="inlineStr">
        <is>
          <t>You will have around 40 files from 3 takes each. In your gallery, pick the one keeper per shot and put the 13 winners in an album called 'reel'.</t>
        </is>
      </c>
    </row>
    <row r="11" ht="42" customHeight="1">
      <c r="A11" s="28" t="inlineStr"/>
      <c r="B11" s="29" t="n">
        <v>5</v>
      </c>
      <c r="C11" s="24" t="inlineStr">
        <is>
          <t>Why this matters</t>
        </is>
      </c>
      <c r="D11" s="25" t="inlineStr">
        <is>
          <t>Fifteen minutes here saves about an hour of scrolling a crowded timeline. This is the step beginners skip and then drown.</t>
        </is>
      </c>
    </row>
    <row r="12" ht="20" customHeight="1">
      <c r="A12" s="27" t="inlineStr">
        <is>
          <t>SET UP THE PROJECT</t>
        </is>
      </c>
    </row>
    <row r="13" ht="42" customHeight="1">
      <c r="A13" s="28" t="inlineStr"/>
      <c r="B13" s="29" t="n">
        <v>6</v>
      </c>
      <c r="C13" s="24" t="inlineStr">
        <is>
          <t>New Project</t>
        </is>
      </c>
      <c r="D13" s="25" t="inlineStr">
        <is>
          <t>Open VN, tap the + button, choose New Project.</t>
        </is>
      </c>
    </row>
    <row r="14" ht="42" customHeight="1">
      <c r="A14" s="28" t="inlineStr"/>
      <c r="B14" s="29" t="n">
        <v>7</v>
      </c>
      <c r="C14" s="24" t="inlineStr">
        <is>
          <t>Import your 13 clips</t>
        </is>
      </c>
      <c r="D14" s="25" t="inlineStr">
        <is>
          <t>Select them from the 'reel' album in clip order 1 to 13. They land on the timeline at the bottom of the screen.</t>
        </is>
      </c>
    </row>
    <row r="15" ht="42" customHeight="1">
      <c r="A15" s="28" t="inlineStr"/>
      <c r="B15" s="29" t="n">
        <v>8</v>
      </c>
      <c r="C15" s="24" t="inlineStr">
        <is>
          <t>Add the song</t>
        </is>
      </c>
      <c r="D15" s="25" t="inlineStr">
        <is>
          <t>Tap Music (or Audio), then 'From device', and pick your saved track. It appears as a second bar under your video.</t>
        </is>
      </c>
    </row>
    <row r="16" ht="20" customHeight="1">
      <c r="A16" s="27" t="inlineStr">
        <is>
          <t>BEAT MARKERS — the one skill that matters</t>
        </is>
      </c>
    </row>
    <row r="17" ht="42" customHeight="1">
      <c r="A17" s="28" t="inlineStr"/>
      <c r="B17" s="29" t="n">
        <v>9</v>
      </c>
      <c r="C17" s="24" t="inlineStr">
        <is>
          <t>Find the Beat tool</t>
        </is>
      </c>
      <c r="D17" s="25" t="inlineStr">
        <is>
          <t>Tap the music bar once to select it. A menu appears. Look for 'Beat'.</t>
        </is>
      </c>
    </row>
    <row r="18" ht="42" customHeight="1">
      <c r="A18" s="28" t="inlineStr"/>
      <c r="B18" s="29" t="n">
        <v>10</v>
      </c>
      <c r="C18" s="24" t="inlineStr">
        <is>
          <t>Place a marker on every bass hit</t>
        </is>
      </c>
      <c r="D18" s="25" t="inlineStr">
        <is>
          <t>Either let auto-detect place them, or play the track and tap the marker button on each hit. You want a row of small dots along the audio bar.</t>
        </is>
      </c>
    </row>
    <row r="19" ht="42" customHeight="1">
      <c r="A19" s="28" t="inlineStr"/>
      <c r="B19" s="29" t="n">
        <v>11</v>
      </c>
      <c r="C19" s="24" t="inlineStr">
        <is>
          <t>Do this BEFORE touching any video</t>
        </is>
      </c>
      <c r="D19" s="25" t="inlineStr">
        <is>
          <t>Markers first, footage second. Place clips first and try to sync afterwards and you will fight it the whole way through.</t>
        </is>
      </c>
    </row>
    <row r="20" ht="20" customHeight="1">
      <c r="A20" s="27" t="inlineStr">
        <is>
          <t>PLACE THE CLIPS</t>
        </is>
      </c>
    </row>
    <row r="21" ht="42" customHeight="1">
      <c r="A21" s="28" t="inlineStr"/>
      <c r="B21" s="29" t="n">
        <v>12</v>
      </c>
      <c r="C21" s="24" t="inlineStr">
        <is>
          <t>Drag clip 1 to the start</t>
        </is>
      </c>
      <c r="D21" s="25" t="inlineStr">
        <is>
          <t>Then drag its right-hand edge left until the clip ENDS on the first marker. It snaps.</t>
        </is>
      </c>
    </row>
    <row r="22" ht="42" customHeight="1">
      <c r="A22" s="28" t="inlineStr"/>
      <c r="B22" s="29" t="n">
        <v>13</v>
      </c>
      <c r="C22" s="24" t="inlineStr">
        <is>
          <t>Repeat for all 13</t>
        </is>
      </c>
      <c r="D22" s="25" t="inlineStr">
        <is>
          <t>Clip 2 ends on marker 2, clip 3 on marker 3, and so on down the line.</t>
        </is>
      </c>
    </row>
    <row r="23" ht="42" customHeight="1">
      <c r="A23" s="28" t="inlineStr"/>
      <c r="B23" s="29" t="n">
        <v>14</v>
      </c>
      <c r="C23" s="24" t="inlineStr">
        <is>
          <t>Hell on the bass, Beauty on the vocal</t>
        </is>
      </c>
      <c r="D23" s="25" t="inlineStr">
        <is>
          <t>The even-numbered clips are the Hell ones — they should land on the heavy hits.</t>
        </is>
      </c>
    </row>
    <row r="24" ht="42" customHeight="1">
      <c r="A24" s="28" t="inlineStr"/>
      <c r="B24" s="29" t="n">
        <v>15</v>
      </c>
      <c r="C24" s="24" t="inlineStr">
        <is>
          <t>Never reorder the pairs</t>
        </is>
      </c>
      <c r="D24" s="25" t="inlineStr">
        <is>
          <t>1-2, 3-4, 5-6, 7-8, 9-10, 11-12 stay adjacent. The pairing IS the idea of the reel.</t>
        </is>
      </c>
    </row>
    <row r="25" ht="42" customHeight="1">
      <c r="A25" s="28" t="inlineStr"/>
      <c r="B25" s="29" t="n">
        <v>16</v>
      </c>
      <c r="C25" s="24" t="inlineStr">
        <is>
          <t>Early beats late</t>
        </is>
      </c>
      <c r="D25" s="25" t="inlineStr">
        <is>
          <t>If a cut feels a touch early, leave it. Early reads as tight; late always reads as sloppy.</t>
        </is>
      </c>
    </row>
    <row r="26" ht="20" customHeight="1">
      <c r="A26" s="27" t="inlineStr">
        <is>
          <t>TEXT</t>
        </is>
      </c>
    </row>
    <row r="27" ht="42" customHeight="1">
      <c r="A27" s="28" t="inlineStr"/>
      <c r="B27" s="29" t="n">
        <v>17</v>
      </c>
      <c r="C27" s="24" t="inlineStr">
        <is>
          <t>Add your text</t>
        </is>
      </c>
      <c r="D27" s="25" t="inlineStr">
        <is>
          <t>Tap Text, then Add Text. Copy the line from the 'On-screen text' column of the Shot List.</t>
        </is>
      </c>
    </row>
    <row r="28" ht="42" customHeight="1">
      <c r="A28" s="28" t="inlineStr"/>
      <c r="B28" s="29" t="n">
        <v>18</v>
      </c>
      <c r="C28" s="24" t="inlineStr">
        <is>
          <t>Same font, size and position every time</t>
        </is>
      </c>
      <c r="D28" s="25" t="inlineStr">
        <is>
          <t>Pick one and never change it. Consistency is what makes it look designed.</t>
        </is>
      </c>
    </row>
    <row r="29" ht="42" customHeight="1">
      <c r="A29" s="28" t="inlineStr"/>
      <c r="B29" s="29" t="n">
        <v>19</v>
      </c>
      <c r="C29" s="24" t="inlineStr">
        <is>
          <t>Put text in the UPPER third</t>
        </is>
      </c>
      <c r="D29" s="25" t="inlineStr">
        <is>
          <t>Instagram's own buttons cover the bottom of the screen.</t>
        </is>
      </c>
    </row>
    <row r="30" ht="42" customHeight="1">
      <c r="A30" s="28" t="inlineStr"/>
      <c r="B30" s="29" t="n">
        <v>20</v>
      </c>
      <c r="C30" s="24" t="inlineStr">
        <is>
          <t>White text, soft dark shadow</t>
        </is>
      </c>
      <c r="D30" s="25" t="inlineStr">
        <is>
          <t>So it stays readable over both your bright and dark clips.</t>
        </is>
      </c>
    </row>
    <row r="31" ht="42" customHeight="1">
      <c r="A31" s="28" t="inlineStr"/>
      <c r="B31" s="29" t="n">
        <v>21</v>
      </c>
      <c r="C31" s="24" t="inlineStr">
        <is>
          <t>Add nothing else</t>
        </is>
      </c>
      <c r="D31" s="25" t="inlineStr">
        <is>
          <t>No transitions, no filters, no zoom effects. Hard cuts only. Over-effecting is the clearest sign of a first edit.</t>
        </is>
      </c>
    </row>
    <row r="32" ht="20" customHeight="1">
      <c r="A32" s="27" t="inlineStr">
        <is>
          <t>EXPORT</t>
        </is>
      </c>
    </row>
    <row r="33" ht="42" customHeight="1">
      <c r="A33" s="28" t="inlineStr"/>
      <c r="B33" s="29" t="n">
        <v>22</v>
      </c>
      <c r="C33" s="24" t="inlineStr">
        <is>
          <t>Mute the music track</t>
        </is>
      </c>
      <c r="D33" s="25" t="inlineStr">
        <is>
          <t>Tap the music bar, then volume, and set it to 0. Instagram has to supply the real audio.</t>
        </is>
      </c>
    </row>
    <row r="34" ht="42" customHeight="1">
      <c r="A34" s="28" t="inlineStr"/>
      <c r="B34" s="29" t="n">
        <v>23</v>
      </c>
      <c r="C34" s="24" t="inlineStr">
        <is>
          <t>Export at 1080p, 30fps</t>
        </is>
      </c>
      <c r="D34" s="25" t="inlineStr">
        <is>
          <t>Top-right export button. Save to your gallery.</t>
        </is>
      </c>
    </row>
    <row r="35" ht="20" customHeight="1">
      <c r="A35" s="27" t="inlineStr">
        <is>
          <t>POST</t>
        </is>
      </c>
    </row>
    <row r="36" ht="42" customHeight="1">
      <c r="A36" s="28" t="inlineStr"/>
      <c r="B36" s="29" t="n">
        <v>24</v>
      </c>
      <c r="C36" s="24" t="inlineStr">
        <is>
          <t>Upload to Instagram</t>
        </is>
      </c>
      <c r="D36" s="25" t="inlineStr">
        <is>
          <t>New Reel, pick your export. Then Audio, search 'Pretty Little Baby', and choose the version with the most reels attached to it.</t>
        </is>
      </c>
    </row>
    <row r="37" ht="42" customHeight="1">
      <c r="A37" s="28" t="inlineStr"/>
      <c r="B37" s="29" t="n">
        <v>25</v>
      </c>
      <c r="C37" s="24" t="inlineStr">
        <is>
          <t>Trim the audio to your timestamp</t>
        </is>
      </c>
      <c r="D37" s="25" t="inlineStr">
        <is>
          <t>Set it to start at the number you wrote down at step 3. This is what re-aligns your cuts to the music.</t>
        </is>
      </c>
    </row>
    <row r="38" ht="42" customHeight="1">
      <c r="A38" s="28" t="inlineStr"/>
      <c r="B38" s="29" t="n">
        <v>26</v>
      </c>
      <c r="C38" s="24" t="inlineStr">
        <is>
          <t>Play it once and check</t>
        </is>
      </c>
      <c r="D38" s="25" t="inlineStr">
        <is>
          <t>If the hits land on your Hell clips, you are done. If it is slightly out, nudge the audio trim a fraction and check again.</t>
        </is>
      </c>
    </row>
    <row r="39" ht="42" customHeight="1">
      <c r="A39" s="28" t="inlineStr"/>
      <c r="B39" s="29" t="n">
        <v>27</v>
      </c>
      <c r="C39" s="24" t="inlineStr">
        <is>
          <t>Set the cover frame</t>
        </is>
      </c>
      <c r="D39" s="25" t="inlineStr">
        <is>
          <t>Use the red PATCH REFUSED frame from clip 13. Show the actual thing, never an abstract image.</t>
        </is>
      </c>
    </row>
    <row r="40" ht="42" customHeight="1">
      <c r="A40" s="28" t="inlineStr"/>
      <c r="B40" s="29" t="n">
        <v>28</v>
      </c>
      <c r="C40" s="24" t="inlineStr">
        <is>
          <t>Post between 6:30 and 8:00pm IST</t>
        </is>
      </c>
      <c r="D40" s="25" t="inlineStr">
        <is>
          <t>Then put it in your story within two hours — early engagement decides how far it travels.</t>
        </is>
      </c>
    </row>
    <row r="42">
      <c r="A42" s="22" t="inlineStr">
        <is>
          <t>What to expect</t>
        </is>
      </c>
    </row>
    <row r="43">
      <c r="A43" s="26" t="inlineStr">
        <is>
          <t>- Your first edit will take 2-3 hours, not the 90 minutes you might expect. That is normal.</t>
        </is>
      </c>
    </row>
    <row r="44">
      <c r="A44" s="26" t="inlineStr">
        <is>
          <t>- The second takes about 40 minutes. The fourth takes 20. It gets fast quickly.</t>
        </is>
      </c>
    </row>
    <row r="45">
      <c r="A45" s="26" t="inlineStr">
        <is>
          <t>- If something looks wrong and you cannot say why, it is almost always the timing, not the footage.</t>
        </is>
      </c>
    </row>
    <row r="46">
      <c r="A46" s="26" t="inlineStr">
        <is>
          <t>- Watch it MUTED before you post. If it does not read without sound, the text is wrong.</t>
        </is>
      </c>
    </row>
  </sheetData>
  <mergeCells count="12">
    <mergeCell ref="A5:D5"/>
    <mergeCell ref="A45:D45"/>
    <mergeCell ref="A9:D9"/>
    <mergeCell ref="A12:D12"/>
    <mergeCell ref="A35:D35"/>
    <mergeCell ref="A20:D20"/>
    <mergeCell ref="A26:D26"/>
    <mergeCell ref="A43:D43"/>
    <mergeCell ref="A16:D16"/>
    <mergeCell ref="A46:D46"/>
    <mergeCell ref="A32:D32"/>
    <mergeCell ref="A44:D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2026-08-15T07:11:09Z</dcterms:created>
  <dcterms:modified xsi:type="dcterms:W3CDTF">2026-08-15T07:11:09Z</dcterms:modified>
</cp:coreProperties>
</file>